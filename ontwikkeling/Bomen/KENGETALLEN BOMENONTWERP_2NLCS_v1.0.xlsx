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wopi.dropbox.com/wopi/files/oid_5090193649750989312/WOPIServiceId_TP_DROPBOX_PLUS/WOPIUserId_-/"/>
    </mc:Choice>
  </mc:AlternateContent>
  <xr:revisionPtr revIDLastSave="13" documentId="8_{BA00CB55-87AA-4D40-832C-7E7151D68635}" xr6:coauthVersionLast="47" xr6:coauthVersionMax="47" xr10:uidLastSave="{F55FC376-89E8-48F0-AB57-137BEA785343}"/>
  <bookViews>
    <workbookView xWindow="-120" yWindow="-120" windowWidth="57840" windowHeight="23520" xr2:uid="{00000000-000D-0000-FFFF-FFFF00000000}"/>
  </bookViews>
  <sheets>
    <sheet name="BKV_Eindbeeld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F36" i="1"/>
  <c r="F13" i="1"/>
  <c r="F69" i="1"/>
  <c r="F37" i="1"/>
  <c r="F82" i="1"/>
  <c r="F49" i="1"/>
  <c r="F91" i="1"/>
  <c r="F70" i="1"/>
  <c r="K36" i="1"/>
  <c r="K13" i="1"/>
  <c r="K69" i="1"/>
  <c r="K37" i="1"/>
  <c r="K82" i="1"/>
  <c r="K49" i="1"/>
  <c r="K91" i="1"/>
  <c r="K70" i="1"/>
  <c r="S36" i="1"/>
  <c r="S13" i="1"/>
  <c r="S69" i="1"/>
  <c r="S37" i="1"/>
  <c r="S82" i="1"/>
  <c r="S49" i="1"/>
  <c r="S91" i="1"/>
  <c r="S70" i="1"/>
  <c r="U36" i="1"/>
  <c r="U13" i="1"/>
  <c r="U69" i="1"/>
  <c r="U37" i="1"/>
  <c r="U82" i="1"/>
  <c r="U49" i="1"/>
  <c r="U91" i="1"/>
  <c r="U70" i="1"/>
  <c r="W36" i="1"/>
  <c r="W13" i="1"/>
  <c r="W69" i="1"/>
  <c r="W37" i="1"/>
  <c r="W82" i="1"/>
  <c r="W49" i="1"/>
  <c r="W91" i="1"/>
  <c r="W70" i="1"/>
  <c r="Y36" i="1"/>
  <c r="Y13" i="1"/>
  <c r="Y69" i="1"/>
  <c r="Y37" i="1"/>
  <c r="Y82" i="1"/>
  <c r="Y49" i="1"/>
  <c r="Y91" i="1"/>
  <c r="Y70" i="1"/>
  <c r="F34" i="1"/>
  <c r="F12" i="1"/>
  <c r="F67" i="1"/>
  <c r="F35" i="1"/>
  <c r="F81" i="1"/>
  <c r="F48" i="1"/>
  <c r="F90" i="1"/>
  <c r="F68" i="1"/>
  <c r="K34" i="1"/>
  <c r="K12" i="1"/>
  <c r="K67" i="1"/>
  <c r="K35" i="1"/>
  <c r="K81" i="1"/>
  <c r="K48" i="1"/>
  <c r="K90" i="1"/>
  <c r="K68" i="1"/>
  <c r="S34" i="1"/>
  <c r="S12" i="1"/>
  <c r="S67" i="1"/>
  <c r="S35" i="1"/>
  <c r="S81" i="1"/>
  <c r="S48" i="1"/>
  <c r="S90" i="1"/>
  <c r="S68" i="1"/>
  <c r="U34" i="1"/>
  <c r="U12" i="1"/>
  <c r="U67" i="1"/>
  <c r="U35" i="1"/>
  <c r="U81" i="1"/>
  <c r="U48" i="1"/>
  <c r="U90" i="1"/>
  <c r="U68" i="1"/>
  <c r="W34" i="1"/>
  <c r="W12" i="1"/>
  <c r="W67" i="1"/>
  <c r="W35" i="1"/>
  <c r="W81" i="1"/>
  <c r="W48" i="1"/>
  <c r="W90" i="1"/>
  <c r="W68" i="1"/>
  <c r="Y34" i="1"/>
  <c r="Y12" i="1"/>
  <c r="Y67" i="1"/>
  <c r="Y35" i="1"/>
  <c r="Y81" i="1"/>
  <c r="Y48" i="1"/>
  <c r="Y90" i="1"/>
  <c r="Y68" i="1"/>
  <c r="F66" i="1"/>
  <c r="K66" i="1"/>
  <c r="S66" i="1"/>
  <c r="U66" i="1"/>
  <c r="W66" i="1"/>
  <c r="Y66" i="1"/>
  <c r="F89" i="1"/>
  <c r="K89" i="1"/>
  <c r="S89" i="1"/>
  <c r="U89" i="1"/>
  <c r="W89" i="1"/>
  <c r="Y89" i="1"/>
  <c r="F47" i="1"/>
  <c r="K47" i="1"/>
  <c r="S47" i="1"/>
  <c r="U47" i="1"/>
  <c r="W47" i="1"/>
  <c r="Y47" i="1"/>
  <c r="F80" i="1"/>
  <c r="K80" i="1"/>
  <c r="S80" i="1"/>
  <c r="U80" i="1"/>
  <c r="W80" i="1"/>
  <c r="Y80" i="1"/>
  <c r="F33" i="1"/>
  <c r="K33" i="1"/>
  <c r="S33" i="1"/>
  <c r="U33" i="1"/>
  <c r="W33" i="1"/>
  <c r="Y33" i="1"/>
  <c r="F65" i="1"/>
  <c r="K65" i="1"/>
  <c r="S65" i="1"/>
  <c r="U65" i="1"/>
  <c r="W65" i="1"/>
  <c r="Y65" i="1"/>
  <c r="Y11" i="1"/>
  <c r="W11" i="1"/>
  <c r="U11" i="1"/>
  <c r="S11" i="1"/>
  <c r="K11" i="1"/>
  <c r="F11" i="1"/>
  <c r="F32" i="1"/>
  <c r="K32" i="1"/>
  <c r="S32" i="1"/>
  <c r="U32" i="1"/>
  <c r="W32" i="1"/>
  <c r="Y32" i="1"/>
  <c r="F2" i="1"/>
  <c r="F50" i="1"/>
  <c r="F15" i="1"/>
  <c r="F71" i="1"/>
  <c r="F38" i="1"/>
  <c r="F83" i="1"/>
  <c r="F51" i="1"/>
  <c r="F16" i="1"/>
  <c r="F3" i="1"/>
  <c r="F52" i="1"/>
  <c r="F17" i="1"/>
  <c r="F72" i="1"/>
  <c r="F39" i="1"/>
  <c r="F84" i="1"/>
  <c r="F53" i="1"/>
  <c r="F18" i="1"/>
  <c r="F4" i="1"/>
  <c r="F54" i="1"/>
  <c r="F19" i="1"/>
  <c r="F73" i="1"/>
  <c r="F40" i="1"/>
  <c r="F85" i="1"/>
  <c r="F55" i="1"/>
  <c r="F20" i="1"/>
  <c r="F5" i="1"/>
  <c r="F56" i="1"/>
  <c r="F21" i="1"/>
  <c r="F74" i="1"/>
  <c r="F41" i="1"/>
  <c r="F86" i="1"/>
  <c r="F57" i="1"/>
  <c r="F22" i="1"/>
  <c r="F6" i="1"/>
  <c r="F58" i="1"/>
  <c r="F23" i="1"/>
  <c r="F75" i="1"/>
  <c r="F42" i="1"/>
  <c r="F87" i="1"/>
  <c r="F59" i="1"/>
  <c r="F24" i="1"/>
  <c r="F7" i="1"/>
  <c r="F60" i="1"/>
  <c r="F25" i="1"/>
  <c r="F76" i="1"/>
  <c r="F43" i="1"/>
  <c r="F88" i="1"/>
  <c r="F61" i="1"/>
  <c r="F26" i="1"/>
  <c r="F8" i="1"/>
  <c r="F62" i="1"/>
  <c r="F27" i="1"/>
  <c r="F77" i="1"/>
  <c r="F44" i="1"/>
  <c r="F28" i="1"/>
  <c r="F9" i="1"/>
  <c r="F63" i="1"/>
  <c r="F29" i="1"/>
  <c r="F78" i="1"/>
  <c r="F45" i="1"/>
  <c r="F30" i="1"/>
  <c r="F10" i="1"/>
  <c r="F64" i="1"/>
  <c r="F31" i="1"/>
  <c r="F79" i="1"/>
  <c r="F46" i="1"/>
  <c r="F14" i="1"/>
  <c r="W2" i="1"/>
  <c r="W50" i="1"/>
  <c r="W15" i="1"/>
  <c r="W71" i="1"/>
  <c r="W38" i="1"/>
  <c r="W83" i="1"/>
  <c r="W51" i="1"/>
  <c r="W16" i="1"/>
  <c r="W3" i="1"/>
  <c r="W52" i="1"/>
  <c r="W17" i="1"/>
  <c r="W72" i="1"/>
  <c r="W39" i="1"/>
  <c r="W84" i="1"/>
  <c r="W53" i="1"/>
  <c r="W18" i="1"/>
  <c r="W4" i="1"/>
  <c r="W54" i="1"/>
  <c r="W19" i="1"/>
  <c r="W73" i="1"/>
  <c r="W40" i="1"/>
  <c r="W85" i="1"/>
  <c r="W55" i="1"/>
  <c r="W20" i="1"/>
  <c r="W5" i="1"/>
  <c r="W56" i="1"/>
  <c r="W21" i="1"/>
  <c r="W74" i="1"/>
  <c r="W41" i="1"/>
  <c r="W86" i="1"/>
  <c r="W57" i="1"/>
  <c r="W22" i="1"/>
  <c r="W6" i="1"/>
  <c r="W58" i="1"/>
  <c r="W23" i="1"/>
  <c r="W75" i="1"/>
  <c r="W42" i="1"/>
  <c r="W87" i="1"/>
  <c r="W59" i="1"/>
  <c r="W24" i="1"/>
  <c r="W7" i="1"/>
  <c r="W60" i="1"/>
  <c r="W25" i="1"/>
  <c r="W76" i="1"/>
  <c r="W43" i="1"/>
  <c r="W88" i="1"/>
  <c r="W61" i="1"/>
  <c r="W26" i="1"/>
  <c r="W8" i="1"/>
  <c r="W62" i="1"/>
  <c r="W27" i="1"/>
  <c r="W77" i="1"/>
  <c r="W44" i="1"/>
  <c r="W28" i="1"/>
  <c r="W9" i="1"/>
  <c r="W63" i="1"/>
  <c r="W29" i="1"/>
  <c r="W78" i="1"/>
  <c r="W45" i="1"/>
  <c r="W30" i="1"/>
  <c r="W10" i="1"/>
  <c r="W64" i="1"/>
  <c r="W31" i="1"/>
  <c r="W79" i="1"/>
  <c r="W46" i="1"/>
  <c r="W14" i="1"/>
  <c r="U2" i="1"/>
  <c r="U50" i="1"/>
  <c r="U15" i="1"/>
  <c r="U71" i="1"/>
  <c r="U38" i="1"/>
  <c r="U83" i="1"/>
  <c r="U51" i="1"/>
  <c r="U16" i="1"/>
  <c r="U3" i="1"/>
  <c r="U52" i="1"/>
  <c r="U17" i="1"/>
  <c r="U72" i="1"/>
  <c r="U39" i="1"/>
  <c r="U84" i="1"/>
  <c r="U53" i="1"/>
  <c r="U18" i="1"/>
  <c r="U4" i="1"/>
  <c r="U54" i="1"/>
  <c r="U19" i="1"/>
  <c r="U73" i="1"/>
  <c r="U40" i="1"/>
  <c r="U85" i="1"/>
  <c r="U55" i="1"/>
  <c r="U20" i="1"/>
  <c r="U5" i="1"/>
  <c r="U56" i="1"/>
  <c r="U21" i="1"/>
  <c r="U74" i="1"/>
  <c r="U41" i="1"/>
  <c r="U86" i="1"/>
  <c r="U57" i="1"/>
  <c r="U22" i="1"/>
  <c r="U6" i="1"/>
  <c r="U58" i="1"/>
  <c r="U23" i="1"/>
  <c r="U75" i="1"/>
  <c r="U42" i="1"/>
  <c r="U87" i="1"/>
  <c r="U59" i="1"/>
  <c r="U24" i="1"/>
  <c r="U7" i="1"/>
  <c r="U60" i="1"/>
  <c r="U25" i="1"/>
  <c r="U76" i="1"/>
  <c r="U43" i="1"/>
  <c r="U88" i="1"/>
  <c r="U61" i="1"/>
  <c r="U26" i="1"/>
  <c r="U8" i="1"/>
  <c r="U62" i="1"/>
  <c r="U27" i="1"/>
  <c r="U77" i="1"/>
  <c r="U44" i="1"/>
  <c r="U28" i="1"/>
  <c r="U9" i="1"/>
  <c r="U63" i="1"/>
  <c r="U29" i="1"/>
  <c r="U78" i="1"/>
  <c r="U45" i="1"/>
  <c r="U30" i="1"/>
  <c r="U10" i="1"/>
  <c r="U64" i="1"/>
  <c r="U31" i="1"/>
  <c r="U79" i="1"/>
  <c r="U46" i="1"/>
  <c r="U14" i="1"/>
  <c r="S2" i="1"/>
  <c r="S50" i="1"/>
  <c r="S15" i="1"/>
  <c r="S71" i="1"/>
  <c r="S38" i="1"/>
  <c r="S83" i="1"/>
  <c r="S51" i="1"/>
  <c r="S16" i="1"/>
  <c r="S3" i="1"/>
  <c r="S52" i="1"/>
  <c r="S17" i="1"/>
  <c r="S72" i="1"/>
  <c r="S39" i="1"/>
  <c r="S84" i="1"/>
  <c r="S53" i="1"/>
  <c r="S18" i="1"/>
  <c r="S4" i="1"/>
  <c r="S54" i="1"/>
  <c r="S19" i="1"/>
  <c r="S73" i="1"/>
  <c r="S40" i="1"/>
  <c r="S85" i="1"/>
  <c r="S55" i="1"/>
  <c r="S20" i="1"/>
  <c r="S5" i="1"/>
  <c r="S56" i="1"/>
  <c r="S21" i="1"/>
  <c r="S74" i="1"/>
  <c r="S41" i="1"/>
  <c r="S86" i="1"/>
  <c r="S57" i="1"/>
  <c r="S22" i="1"/>
  <c r="S6" i="1"/>
  <c r="S58" i="1"/>
  <c r="S23" i="1"/>
  <c r="S75" i="1"/>
  <c r="S42" i="1"/>
  <c r="S87" i="1"/>
  <c r="S59" i="1"/>
  <c r="S24" i="1"/>
  <c r="S7" i="1"/>
  <c r="S60" i="1"/>
  <c r="S25" i="1"/>
  <c r="S76" i="1"/>
  <c r="S43" i="1"/>
  <c r="S88" i="1"/>
  <c r="S61" i="1"/>
  <c r="S26" i="1"/>
  <c r="S8" i="1"/>
  <c r="S62" i="1"/>
  <c r="S27" i="1"/>
  <c r="S77" i="1"/>
  <c r="S44" i="1"/>
  <c r="S28" i="1"/>
  <c r="S9" i="1"/>
  <c r="S63" i="1"/>
  <c r="S29" i="1"/>
  <c r="S78" i="1"/>
  <c r="S45" i="1"/>
  <c r="S30" i="1"/>
  <c r="S10" i="1"/>
  <c r="S64" i="1"/>
  <c r="S31" i="1"/>
  <c r="S79" i="1"/>
  <c r="S46" i="1"/>
  <c r="S14" i="1"/>
  <c r="K14" i="1"/>
  <c r="K2" i="1"/>
  <c r="K50" i="1"/>
  <c r="K15" i="1"/>
  <c r="K71" i="1"/>
  <c r="K38" i="1"/>
  <c r="K83" i="1"/>
  <c r="K51" i="1"/>
  <c r="K16" i="1"/>
  <c r="K3" i="1"/>
  <c r="K52" i="1"/>
  <c r="K17" i="1"/>
  <c r="K72" i="1"/>
  <c r="K39" i="1"/>
  <c r="K84" i="1"/>
  <c r="K53" i="1"/>
  <c r="K18" i="1"/>
  <c r="K4" i="1"/>
  <c r="K54" i="1"/>
  <c r="K19" i="1"/>
  <c r="K73" i="1"/>
  <c r="K40" i="1"/>
  <c r="K85" i="1"/>
  <c r="K55" i="1"/>
  <c r="K20" i="1"/>
  <c r="K5" i="1"/>
  <c r="K56" i="1"/>
  <c r="K21" i="1"/>
  <c r="K74" i="1"/>
  <c r="K41" i="1"/>
  <c r="K86" i="1"/>
  <c r="K57" i="1"/>
  <c r="K22" i="1"/>
  <c r="K6" i="1"/>
  <c r="K58" i="1"/>
  <c r="K23" i="1"/>
  <c r="K75" i="1"/>
  <c r="K42" i="1"/>
  <c r="K87" i="1"/>
  <c r="K59" i="1"/>
  <c r="K24" i="1"/>
  <c r="K7" i="1"/>
  <c r="K60" i="1"/>
  <c r="K25" i="1"/>
  <c r="K76" i="1"/>
  <c r="K43" i="1"/>
  <c r="K88" i="1"/>
  <c r="K61" i="1"/>
  <c r="K26" i="1"/>
  <c r="K8" i="1"/>
  <c r="K62" i="1"/>
  <c r="K27" i="1"/>
  <c r="K77" i="1"/>
  <c r="K44" i="1"/>
  <c r="K28" i="1"/>
  <c r="K9" i="1"/>
  <c r="K63" i="1"/>
  <c r="K29" i="1"/>
  <c r="K78" i="1"/>
  <c r="K45" i="1"/>
  <c r="K30" i="1"/>
  <c r="K10" i="1"/>
  <c r="K64" i="1"/>
  <c r="K31" i="1"/>
  <c r="K79" i="1"/>
  <c r="K46" i="1"/>
  <c r="Y14" i="1"/>
  <c r="Y2" i="1"/>
  <c r="Y50" i="1"/>
  <c r="Y15" i="1"/>
  <c r="Y71" i="1"/>
  <c r="Y38" i="1"/>
  <c r="Y83" i="1"/>
  <c r="Y51" i="1"/>
  <c r="Y16" i="1"/>
  <c r="Y3" i="1"/>
  <c r="Y52" i="1"/>
  <c r="Y17" i="1"/>
  <c r="Y72" i="1"/>
  <c r="Y39" i="1"/>
  <c r="Y84" i="1"/>
  <c r="Y53" i="1"/>
  <c r="Y18" i="1"/>
  <c r="Y4" i="1"/>
  <c r="Y54" i="1"/>
  <c r="Y19" i="1"/>
  <c r="Y73" i="1"/>
  <c r="Y40" i="1"/>
  <c r="Y85" i="1"/>
  <c r="Y55" i="1"/>
  <c r="Y20" i="1"/>
  <c r="Y5" i="1"/>
  <c r="Y56" i="1"/>
  <c r="Y21" i="1"/>
  <c r="Y74" i="1"/>
  <c r="Y41" i="1"/>
  <c r="Y86" i="1"/>
  <c r="Y57" i="1"/>
  <c r="Y22" i="1"/>
  <c r="Y6" i="1"/>
  <c r="Y58" i="1"/>
  <c r="Y23" i="1"/>
  <c r="Y75" i="1"/>
  <c r="Y42" i="1"/>
  <c r="Y87" i="1"/>
  <c r="Y59" i="1"/>
  <c r="Y24" i="1"/>
  <c r="Y7" i="1"/>
  <c r="Y60" i="1"/>
  <c r="Y25" i="1"/>
  <c r="Y76" i="1"/>
  <c r="Y43" i="1"/>
  <c r="Y88" i="1"/>
  <c r="Y61" i="1"/>
  <c r="Y26" i="1"/>
  <c r="Y8" i="1"/>
  <c r="Y62" i="1"/>
  <c r="Y27" i="1"/>
  <c r="Y77" i="1"/>
  <c r="Y44" i="1"/>
  <c r="Y28" i="1"/>
  <c r="Y9" i="1"/>
  <c r="Y63" i="1"/>
  <c r="Y29" i="1"/>
  <c r="Y78" i="1"/>
  <c r="Y45" i="1"/>
  <c r="Y30" i="1"/>
  <c r="Y10" i="1"/>
  <c r="Y64" i="1"/>
  <c r="Y31" i="1"/>
  <c r="Y79" i="1"/>
  <c r="Y46" i="1"/>
  <c r="Z11" i="1" l="1"/>
  <c r="Z35" i="1"/>
  <c r="Z81" i="1"/>
  <c r="Z48" i="1"/>
  <c r="Z90" i="1"/>
  <c r="Z68" i="1"/>
  <c r="Z65" i="1"/>
  <c r="Z34" i="1"/>
  <c r="Z12" i="1"/>
  <c r="Z67" i="1"/>
  <c r="Z82" i="1"/>
  <c r="Z91" i="1"/>
  <c r="Z70" i="1"/>
  <c r="Z13" i="1"/>
  <c r="Z69" i="1"/>
  <c r="Z49" i="1"/>
  <c r="Z37" i="1"/>
  <c r="Z36" i="1"/>
  <c r="Z33" i="1"/>
  <c r="Z66" i="1"/>
  <c r="Z47" i="1"/>
  <c r="Z80" i="1"/>
  <c r="Z89" i="1"/>
  <c r="Z32" i="1"/>
  <c r="Z2" i="1"/>
  <c r="Z15" i="1"/>
  <c r="Z38" i="1"/>
  <c r="Z51" i="1"/>
  <c r="Z3" i="1"/>
  <c r="Z17" i="1"/>
  <c r="Z39" i="1"/>
  <c r="Z85" i="1"/>
  <c r="Z5" i="1"/>
  <c r="Z74" i="1"/>
  <c r="Z76" i="1"/>
  <c r="Z26" i="1"/>
  <c r="Z44" i="1"/>
  <c r="Z46" i="1"/>
  <c r="Z50" i="1"/>
  <c r="Z14" i="1"/>
  <c r="Z71" i="1"/>
  <c r="Z83" i="1"/>
  <c r="Z16" i="1"/>
  <c r="Z52" i="1"/>
  <c r="Z72" i="1"/>
  <c r="Z40" i="1"/>
  <c r="Z20" i="1"/>
  <c r="Z56" i="1"/>
  <c r="Z86" i="1"/>
  <c r="Z61" i="1"/>
  <c r="Z77" i="1"/>
  <c r="Z79" i="1"/>
  <c r="Z84" i="1"/>
  <c r="Z53" i="1"/>
  <c r="Z18" i="1"/>
  <c r="Z4" i="1"/>
  <c r="Z54" i="1"/>
  <c r="Z19" i="1"/>
  <c r="Z73" i="1"/>
  <c r="Z55" i="1"/>
  <c r="Z41" i="1"/>
  <c r="Z43" i="1"/>
  <c r="Z27" i="1"/>
  <c r="Z57" i="1"/>
  <c r="Z22" i="1"/>
  <c r="Z6" i="1"/>
  <c r="Z58" i="1"/>
  <c r="Z23" i="1"/>
  <c r="Z75" i="1"/>
  <c r="Z42" i="1"/>
  <c r="Z87" i="1"/>
  <c r="Z59" i="1"/>
  <c r="Z24" i="1"/>
  <c r="Z25" i="1"/>
  <c r="Z88" i="1"/>
  <c r="Z62" i="1"/>
  <c r="Z28" i="1"/>
  <c r="Z8" i="1"/>
  <c r="Z21" i="1"/>
  <c r="Z7" i="1"/>
  <c r="Z60" i="1"/>
  <c r="Z9" i="1"/>
  <c r="Z63" i="1"/>
  <c r="Z29" i="1"/>
  <c r="Z78" i="1"/>
  <c r="Z45" i="1"/>
  <c r="Z30" i="1"/>
  <c r="Z10" i="1"/>
  <c r="Z64" i="1"/>
  <c r="Z31" i="1"/>
</calcChain>
</file>

<file path=xl/sharedStrings.xml><?xml version="1.0" encoding="utf-8"?>
<sst xmlns="http://schemas.openxmlformats.org/spreadsheetml/2006/main" count="1196" uniqueCount="71">
  <si>
    <t>Boomgrootte</t>
  </si>
  <si>
    <t>Beoogde omloop</t>
  </si>
  <si>
    <t>Groeitype</t>
  </si>
  <si>
    <t>Kroontype</t>
  </si>
  <si>
    <t>Boomhoogteklasse (m)</t>
  </si>
  <si>
    <t>Boomkroonvolume | BKV-stelpost (m3)</t>
  </si>
  <si>
    <t>Boomkroonvolumeklasse (m3)</t>
  </si>
  <si>
    <t>Stabiliteitskluitdiameter (m)</t>
  </si>
  <si>
    <t>Doorwortelbare ruimte grondwaterprofiel (m3)</t>
  </si>
  <si>
    <t>Doorwortelbare ruimte hangwaterprofiel (m3)</t>
  </si>
  <si>
    <t>1e grootte</t>
  </si>
  <si>
    <t>Regulier groeiend</t>
  </si>
  <si>
    <t>Brede kroon</t>
  </si>
  <si>
    <t>10 (10-15)</t>
  </si>
  <si>
    <t>12-18</t>
  </si>
  <si>
    <t>500-1.000</t>
  </si>
  <si>
    <t>Snelgroeiend</t>
  </si>
  <si>
    <t>15 (15-20)</t>
  </si>
  <si>
    <t>18-24</t>
  </si>
  <si>
    <t>1.000-2.500</t>
  </si>
  <si>
    <t>20 (20-25)</t>
  </si>
  <si>
    <t>2.500-5.000</t>
  </si>
  <si>
    <t>25 (≥25)</t>
  </si>
  <si>
    <t>5.000-7.500</t>
  </si>
  <si>
    <t>Normale kroon</t>
  </si>
  <si>
    <t>7 (5-10)</t>
  </si>
  <si>
    <t>6-12</t>
  </si>
  <si>
    <t>75-200</t>
  </si>
  <si>
    <t>12 (10-15)</t>
  </si>
  <si>
    <t>18 (15-20)</t>
  </si>
  <si>
    <t>≥24</t>
  </si>
  <si>
    <t>Smalle kroon</t>
  </si>
  <si>
    <t>4 (3-5)</t>
  </si>
  <si>
    <t>15-75</t>
  </si>
  <si>
    <t>6 (5-10)</t>
  </si>
  <si>
    <t>200-500</t>
  </si>
  <si>
    <t>8 (5-10)</t>
  </si>
  <si>
    <t>9 (5-10)</t>
  </si>
  <si>
    <t>2e grootte</t>
  </si>
  <si>
    <t>5 (5-10)</t>
  </si>
  <si>
    <t>&lt; 6</t>
  </si>
  <si>
    <t>3 (3-5)</t>
  </si>
  <si>
    <t>3e grootte</t>
  </si>
  <si>
    <t>-</t>
  </si>
  <si>
    <t>10 (5-10)</t>
  </si>
  <si>
    <t>3 (3)</t>
  </si>
  <si>
    <t>SGR</t>
  </si>
  <si>
    <t>BOOM</t>
  </si>
  <si>
    <t>_</t>
  </si>
  <si>
    <t>Bibliotheeknaam</t>
  </si>
  <si>
    <t>Naamdeel1</t>
  </si>
  <si>
    <t>-2</t>
  </si>
  <si>
    <t>-3</t>
  </si>
  <si>
    <t>-5</t>
  </si>
  <si>
    <t>-7</t>
  </si>
  <si>
    <t>Naamdeel5</t>
  </si>
  <si>
    <t>Stabiliteitskluit Straal (m)</t>
  </si>
  <si>
    <t>NLCS Symboolnaam</t>
  </si>
  <si>
    <t>Naamdeel3 = 3</t>
  </si>
  <si>
    <t>Naamdeel4</t>
  </si>
  <si>
    <t>Naamdeel2</t>
  </si>
  <si>
    <t>Boomkoondiameter (m)</t>
  </si>
  <si>
    <t xml:space="preserve">Obstakelvrij ondergronds, straal ten opzicht van hart wortelvoet (m) </t>
  </si>
  <si>
    <t>Boomkroonstraal (m)</t>
  </si>
  <si>
    <t>Vormboom</t>
  </si>
  <si>
    <t>(4)</t>
  </si>
  <si>
    <t>(6)</t>
  </si>
  <si>
    <t>(7)</t>
  </si>
  <si>
    <t>(3)</t>
  </si>
  <si>
    <t>(2)</t>
  </si>
  <si>
    <t>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</si>
</sst>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6" fillId="3" borderId="1" applyNumberFormat="0" applyAlignment="0" applyProtection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2" borderId="1" xfId="1" applyFont="1" applyAlignment="1">
      <alignment horizontal="center"/>
    </xf>
    <xf numFmtId="0" fontId="2" fillId="2" borderId="1" xfId="1" applyAlignment="1">
      <alignment horizontal="left"/>
    </xf>
    <xf numFmtId="0" fontId="2" fillId="2" borderId="1" xfId="1" applyAlignment="1">
      <alignment horizontal="center"/>
    </xf>
    <xf numFmtId="0" fontId="0" fillId="0" borderId="0" xfId="0" applyAlignment="1">
      <alignment horizontal="center"/>
    </xf>
    <xf numFmtId="0" fontId="7" fillId="0" borderId="0" xfId="3" applyAlignment="1">
      <alignment horizontal="left"/>
    </xf>
    <xf numFmtId="0" fontId="6" fillId="3" borderId="1" xfId="2" applyAlignment="1">
      <alignment horizontal="left" vertical="top" wrapText="1"/>
    </xf>
    <xf numFmtId="0" fontId="6" fillId="3" borderId="1" xfId="2" applyAlignment="1">
      <alignment horizontal="center" vertical="top" wrapText="1"/>
    </xf>
    <xf numFmtId="0" fontId="6" fillId="3" borderId="1" xfId="2" applyAlignment="1">
      <alignment vertical="top"/>
    </xf>
    <xf numFmtId="0" fontId="3" fillId="2" borderId="1" xfId="1" applyNumberFormat="1" applyFont="1" applyAlignment="1">
      <alignment horizontal="center"/>
    </xf>
    <xf numFmtId="0" fontId="2" fillId="2" borderId="1" xfId="1" applyNumberFormat="1" applyAlignment="1">
      <alignment horizontal="center"/>
    </xf>
    <xf numFmtId="0" fontId="2" fillId="2" borderId="1" xfId="1" applyNumberFormat="1" applyAlignment="1">
      <alignment horizontal="left"/>
    </xf>
    <xf numFmtId="0" fontId="3" fillId="2" borderId="2" xfId="1" applyNumberFormat="1" applyFont="1" applyBorder="1" applyAlignment="1">
      <alignment horizontal="center"/>
    </xf>
    <xf numFmtId="0" fontId="7" fillId="0" borderId="0" xfId="3" applyBorder="1" applyAlignment="1">
      <alignment horizontal="left"/>
    </xf>
    <xf numFmtId="0" fontId="2" fillId="2" borderId="2" xfId="1" applyNumberFormat="1" applyBorder="1" applyAlignment="1">
      <alignment horizontal="center"/>
    </xf>
    <xf numFmtId="0" fontId="2" fillId="2" borderId="2" xfId="1" applyNumberFormat="1" applyBorder="1" applyAlignment="1">
      <alignment horizontal="left"/>
    </xf>
    <xf numFmtId="0" fontId="3" fillId="2" borderId="2" xfId="1" applyFont="1" applyBorder="1" applyAlignment="1">
      <alignment horizontal="center"/>
    </xf>
    <xf numFmtId="0" fontId="2" fillId="2" borderId="2" xfId="1" applyBorder="1" applyAlignment="1">
      <alignment horizontal="center"/>
    </xf>
    <xf numFmtId="0" fontId="2" fillId="2" borderId="2" xfId="1" applyBorder="1" applyAlignment="1">
      <alignment horizontal="left"/>
    </xf>
    <xf numFmtId="0" fontId="8" fillId="0" borderId="0" xfId="3" applyFont="1" applyAlignment="1">
      <alignment horizontal="left" vertical="top" wrapText="1"/>
    </xf>
  </cellXfs>
  <cellStyles count="4">
    <cellStyle name="Berekening" xfId="1" builtinId="22"/>
    <cellStyle name="Invoer" xfId="2" builtinId="20"/>
    <cellStyle name="Standaard" xfId="0" builtinId="0"/>
    <cellStyle name="Verklarende tekst" xfId="3" builtinId="53"/>
  </cellStyles>
  <dxfs count="31">
    <dxf>
      <numFmt numFmtId="0" formatCode="General"/>
      <alignment horizontal="left" vertical="bottom" textRotation="0" wrapText="0" indent="0" justifyLastLine="0" shrinkToFit="0" readingOrder="0"/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</font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8AA035-15AA-47A6-ACF6-1F8FD2DBB957}" name="BKV_Eindbeelden" displayName="BKV_Eindbeelden" ref="A1:Z91" totalsRowShown="0" headerRowDxfId="30" dataDxfId="29">
  <autoFilter ref="A1:Z91" xr:uid="{AF8AA035-15AA-47A6-ACF6-1F8FD2DBB957}"/>
  <tableColumns count="26">
    <tableColumn id="1" xr3:uid="{5B1D0286-DBA7-41AB-9D6E-E0F9AFFD8A9E}" name="Boomgrootte" dataDxfId="28"/>
    <tableColumn id="2" xr3:uid="{7871558A-7C07-4BA0-860F-7AA1BF054EA0}" name="Beoogde omloop" dataDxfId="27"/>
    <tableColumn id="3" xr3:uid="{28EAA831-29FC-44C3-8E06-042DBCE92898}" name="Groeitype" dataDxfId="26"/>
    <tableColumn id="4" xr3:uid="{5D56FD82-3D6F-4EEE-A9F1-562A4FD3055A}" name="Kroontype" dataDxfId="25"/>
    <tableColumn id="5" xr3:uid="{4ECD49D7-C0A1-4A15-8030-43898C346568}" name="Boomkoondiameter (m)" dataDxfId="24" dataCellStyle="Verklarende tekst"/>
    <tableColumn id="24" xr3:uid="{6244B3BB-C756-45C3-A723-FA10AB22E03A}" name="Boomkroonstraal (m)" dataDxfId="23" dataCellStyle="Berekening">
      <calculatedColumnFormula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calculatedColumnFormula>
    </tableColumn>
    <tableColumn id="6" xr3:uid="{878AC9FE-8EB1-4448-94EB-78B6AB009794}" name="Boomhoogteklasse (m)"/>
    <tableColumn id="7" xr3:uid="{768E86B7-2B24-4264-8C37-BE74E8ACB50A}" name="Boomkroonvolume | BKV-stelpost (m3)" dataDxfId="22"/>
    <tableColumn id="8" xr3:uid="{688A8FEC-1D76-4A24-A225-2F4F082EA0F7}" name="Boomkroonvolumeklasse (m3)" dataDxfId="21"/>
    <tableColumn id="9" xr3:uid="{EE3BCDDB-13D1-4F32-BF36-BA3FA998FC4E}" name="Stabiliteitskluitdiameter (m)" dataDxfId="20" dataCellStyle="Verklarende tekst"/>
    <tableColumn id="25" xr3:uid="{49DB775E-A96A-461A-9956-81240CA871FA}" name="Stabiliteitskluit Straal (m)" dataDxfId="19" dataCellStyle="Berekening">
      <calculatedColumnFormula>BKV_Eindbeelden[[#This Row],[Stabiliteitskluitdiameter (m)]]/2</calculatedColumnFormula>
    </tableColumn>
    <tableColumn id="10" xr3:uid="{409CBCBF-77A8-4021-81F6-8323D86C6C27}" name="Doorwortelbare ruimte grondwaterprofiel (m3)" dataDxfId="18"/>
    <tableColumn id="11" xr3:uid="{B06FC56A-A882-4886-A2E1-0D9587BCB7B0}" name="Doorwortelbare ruimte hangwaterprofiel (m3)" dataDxfId="17"/>
    <tableColumn id="26" xr3:uid="{47A591BF-2F9B-4F26-87B5-3951735B4799}" name="Obstakelvrij ondergronds, straal ten opzicht van hart wortelvoet (m) " dataDxfId="0" dataCellStyle="Berekening">
      <calculatedColumnFormula>IF(BKV_Eindbeelden[[#This Row],[Stabiliteitskluit Straal (m)]]&lt;0.75,0.75,BKV_Eindbeelden[[#This Row],[Stabiliteitskluit Straal (m)]])</calculatedColumnFormula>
    </tableColumn>
    <tableColumn id="12" xr3:uid="{0D73C0E9-C872-46DE-903A-1F93E057EDBC}" name="Bibliotheeknaam" dataDxfId="16"/>
    <tableColumn id="13" xr3:uid="{5343AE2F-15B7-4CF2-AFDC-F4B9BDA27352}" name="-" dataDxfId="15"/>
    <tableColumn id="14" xr3:uid="{90BA1101-8220-454E-9607-DF7A5FBE925C}" name="Naamdeel1" dataDxfId="14"/>
    <tableColumn id="15" xr3:uid="{F464301C-4352-43DB-8E91-4354B5E9EF1C}" name="-2" dataDxfId="13"/>
    <tableColumn id="16" xr3:uid="{29972AF4-D545-4F47-BB25-236B1FAE6EBA}" name="Naamdeel2" dataDxfId="12">
      <calculatedColumnFormula>BKV_Eindbeelden[[#This Row],[Beoogde omloop]]&amp;"JR"</calculatedColumnFormula>
    </tableColumn>
    <tableColumn id="17" xr3:uid="{9C7772D1-20BD-4443-AC16-7EF3E50D8013}" name="-3" dataDxfId="11"/>
    <tableColumn id="18" xr3:uid="{0177D89A-95D7-4025-9D93-020CC846E67A}" name="Naamdeel3 = 3" dataDxfId="10">
      <calculatedColumnFormula>UPPER(BKV_Eindbeelden[[#This Row],[Boomgrootte]])</calculatedColumnFormula>
    </tableColumn>
    <tableColumn id="19" xr3:uid="{4E411A4D-2A5D-4EC9-9F1F-15E5A52CEA3F}" name="-5" dataDxfId="9"/>
    <tableColumn id="20" xr3:uid="{6EA7531A-79CB-4991-8377-C3A26906B54E}" name="Naamdeel4" dataDxfId="8">
      <calculatedColumnFormula>IF(BKV_Eindbeelden[[#This Row],[Kroontype]]="brede kroon","BREED",IF(BKV_Eindbeelden[[#This Row],[Kroontype]]="normale kroon","NORMAAL",IF(BKV_Eindbeelden[[#This Row],[Kroontype]]="smalle kroon","SMAL","")))</calculatedColumnFormula>
    </tableColumn>
    <tableColumn id="21" xr3:uid="{7C58895F-F6E2-43B0-B491-BB4B7DA981A8}" name="-7" dataDxfId="7"/>
    <tableColumn id="22" xr3:uid="{98DF321B-8E64-4E87-ADE4-95A14DF7AE32}" name="Naamdeel5" dataDxfId="6">
      <calculatedColumnFormula>IF(BKV_Eindbeelden[[#This Row],[Groeitype]]="Regulier Groeiend","REGULIER",IF(BKV_Eindbeelden[[#This Row],[Groeitype]]="Snelgroeiend","SNEL",""))</calculatedColumnFormula>
    </tableColumn>
    <tableColumn id="23" xr3:uid="{E0F5DA06-EAA8-4AE8-8FC0-4E6631BA5071}" name="NLCS Symboolnaam" dataDxfId="5">
      <calculatedColumnFormula>_xlfn.CONCAT(BKV_Eindbeelden[[#This Row],[Bibliotheeknaam]:[Naamdeel5]])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1"/>
  <sheetViews>
    <sheetView tabSelected="1" workbookViewId="0">
      <selection activeCell="Z2" sqref="Z2"/>
    </sheetView>
  </sheetViews>
  <sheetFormatPr defaultColWidth="17.7109375" defaultRowHeight="15" outlineLevelCol="1" x14ac:dyDescent="0.25"/>
  <cols>
    <col min="1" max="1" width="15" style="1" bestFit="1" customWidth="1"/>
    <col min="2" max="2" width="11.140625" style="1" bestFit="1" customWidth="1"/>
    <col min="3" max="3" width="17" style="1" bestFit="1" customWidth="1"/>
    <col min="4" max="4" width="14.42578125" style="1" bestFit="1" customWidth="1"/>
    <col min="5" max="5" width="17.5703125" style="8" bestFit="1" customWidth="1"/>
    <col min="6" max="6" width="17.140625" style="4" customWidth="1"/>
    <col min="7" max="7" width="17.140625" customWidth="1"/>
    <col min="8" max="9" width="17.140625" style="1" customWidth="1"/>
    <col min="10" max="10" width="17.5703125" style="8" bestFit="1" customWidth="1"/>
    <col min="11" max="11" width="19.28515625" style="7" bestFit="1" customWidth="1"/>
    <col min="12" max="12" width="46.28515625" style="1" bestFit="1" customWidth="1"/>
    <col min="13" max="13" width="45.42578125" style="1" bestFit="1" customWidth="1"/>
    <col min="14" max="14" width="21" style="1" bestFit="1" customWidth="1"/>
    <col min="15" max="15" width="16.85546875" style="1" hidden="1" customWidth="1" outlineLevel="1"/>
    <col min="16" max="16" width="4" style="1" hidden="1" customWidth="1" outlineLevel="1"/>
    <col min="17" max="17" width="13.42578125" style="1" hidden="1" customWidth="1" outlineLevel="1"/>
    <col min="18" max="18" width="5" style="1" hidden="1" customWidth="1" outlineLevel="1"/>
    <col min="19" max="19" width="13.42578125" style="1" hidden="1" customWidth="1" outlineLevel="1"/>
    <col min="20" max="20" width="5" style="1" hidden="1" customWidth="1" outlineLevel="1"/>
    <col min="21" max="21" width="16.42578125" style="1" hidden="1" customWidth="1" outlineLevel="1"/>
    <col min="22" max="22" width="5" style="1" hidden="1" customWidth="1" outlineLevel="1"/>
    <col min="23" max="23" width="13.42578125" style="1" hidden="1" customWidth="1" outlineLevel="1"/>
    <col min="24" max="24" width="5" style="1" hidden="1" customWidth="1" outlineLevel="1"/>
    <col min="25" max="25" width="13.42578125" style="1" hidden="1" customWidth="1" outlineLevel="1"/>
    <col min="26" max="26" width="48.7109375" style="1" bestFit="1" customWidth="1" collapsed="1"/>
    <col min="27" max="16384" width="17.7109375" style="1"/>
  </cols>
  <sheetData>
    <row r="1" spans="1:26" s="3" customFormat="1" ht="64.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22" t="s">
        <v>61</v>
      </c>
      <c r="F1" s="10" t="s">
        <v>63</v>
      </c>
      <c r="G1" s="11" t="s">
        <v>4</v>
      </c>
      <c r="H1" s="9" t="s">
        <v>5</v>
      </c>
      <c r="I1" s="9" t="s">
        <v>6</v>
      </c>
      <c r="J1" s="22" t="s">
        <v>7</v>
      </c>
      <c r="K1" s="10" t="s">
        <v>56</v>
      </c>
      <c r="L1" s="9" t="s">
        <v>8</v>
      </c>
      <c r="M1" s="9" t="s">
        <v>9</v>
      </c>
      <c r="N1" s="9" t="s">
        <v>62</v>
      </c>
      <c r="O1" s="2" t="s">
        <v>49</v>
      </c>
      <c r="P1" s="2" t="s">
        <v>43</v>
      </c>
      <c r="Q1" s="2" t="s">
        <v>50</v>
      </c>
      <c r="R1" s="2" t="s">
        <v>51</v>
      </c>
      <c r="S1" s="2" t="s">
        <v>60</v>
      </c>
      <c r="T1" s="2" t="s">
        <v>52</v>
      </c>
      <c r="U1" s="2" t="s">
        <v>58</v>
      </c>
      <c r="V1" s="2" t="s">
        <v>53</v>
      </c>
      <c r="W1" s="2" t="s">
        <v>59</v>
      </c>
      <c r="X1" s="2" t="s">
        <v>54</v>
      </c>
      <c r="Y1" s="2" t="s">
        <v>55</v>
      </c>
      <c r="Z1" s="9" t="s">
        <v>57</v>
      </c>
    </row>
    <row r="2" spans="1:26" x14ac:dyDescent="0.25">
      <c r="A2" s="1" t="s">
        <v>10</v>
      </c>
      <c r="B2" s="1">
        <v>10</v>
      </c>
      <c r="C2" s="1" t="s">
        <v>16</v>
      </c>
      <c r="D2" s="1" t="s">
        <v>12</v>
      </c>
      <c r="E2" s="8" t="s">
        <v>13</v>
      </c>
      <c r="F2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6.25</v>
      </c>
      <c r="G2" t="s">
        <v>14</v>
      </c>
      <c r="H2" s="1">
        <v>750</v>
      </c>
      <c r="I2" s="1" t="s">
        <v>15</v>
      </c>
      <c r="J2" s="8">
        <v>4</v>
      </c>
      <c r="K2" s="6">
        <f>BKV_Eindbeelden[[#This Row],[Stabiliteitskluitdiameter (m)]]/2</f>
        <v>2</v>
      </c>
      <c r="L2" s="1">
        <v>20</v>
      </c>
      <c r="M2" s="1">
        <v>30</v>
      </c>
      <c r="N2" s="5">
        <f>IF(BKV_Eindbeelden[[#This Row],[Stabiliteitskluit Straal (m)]]&lt;0.75,0.75,BKV_Eindbeelden[[#This Row],[Stabiliteitskluit Straal (m)]])</f>
        <v>2</v>
      </c>
      <c r="O2" s="1" t="s">
        <v>46</v>
      </c>
      <c r="P2" s="1" t="s">
        <v>43</v>
      </c>
      <c r="Q2" s="1" t="s">
        <v>47</v>
      </c>
      <c r="R2" s="1" t="s">
        <v>48</v>
      </c>
      <c r="S2" s="1" t="str">
        <f>BKV_Eindbeelden[[#This Row],[Beoogde omloop]]&amp;"JR"</f>
        <v>10JR</v>
      </c>
      <c r="T2" s="1" t="s">
        <v>48</v>
      </c>
      <c r="U2" s="1" t="str">
        <f>UPPER(BKV_Eindbeelden[[#This Row],[Boomgrootte]])</f>
        <v>1E GROOTTE</v>
      </c>
      <c r="V2" s="1" t="s">
        <v>48</v>
      </c>
      <c r="W2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2" s="1" t="s">
        <v>48</v>
      </c>
      <c r="Y2" s="1" t="str">
        <f>IF(BKV_Eindbeelden[[#This Row],[Groeitype]]="Regulier Groeiend","REGULIER",IF(BKV_Eindbeelden[[#This Row],[Groeitype]]="Snelgroeiend","SNEL",""))</f>
        <v>SNEL</v>
      </c>
      <c r="Z2" s="1" t="str">
        <f>_xlfn.CONCAT(BKV_Eindbeelden[[#This Row],[Bibliotheeknaam]:[Naamdeel5]])</f>
        <v>SGR-BOOM_10JR_1E GROOTTE_BREED_SNEL</v>
      </c>
    </row>
    <row r="3" spans="1:26" x14ac:dyDescent="0.25">
      <c r="A3" s="1" t="s">
        <v>10</v>
      </c>
      <c r="B3" s="1">
        <v>10</v>
      </c>
      <c r="C3" s="1" t="s">
        <v>16</v>
      </c>
      <c r="D3" s="1" t="s">
        <v>24</v>
      </c>
      <c r="E3" s="8" t="s">
        <v>25</v>
      </c>
      <c r="F3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3" t="s">
        <v>26</v>
      </c>
      <c r="H3" s="1">
        <v>150</v>
      </c>
      <c r="I3" s="1" t="s">
        <v>27</v>
      </c>
      <c r="J3" s="8">
        <v>3</v>
      </c>
      <c r="K3" s="6">
        <f>BKV_Eindbeelden[[#This Row],[Stabiliteitskluitdiameter (m)]]/2</f>
        <v>1.5</v>
      </c>
      <c r="L3" s="1">
        <v>12.5</v>
      </c>
      <c r="M3" s="1">
        <v>17.5</v>
      </c>
      <c r="N3" s="5">
        <f>IF(BKV_Eindbeelden[[#This Row],[Stabiliteitskluit Straal (m)]]&lt;0.75,0.75,BKV_Eindbeelden[[#This Row],[Stabiliteitskluit Straal (m)]])</f>
        <v>1.5</v>
      </c>
      <c r="O3" s="1" t="s">
        <v>46</v>
      </c>
      <c r="P3" s="1" t="s">
        <v>43</v>
      </c>
      <c r="Q3" s="1" t="s">
        <v>47</v>
      </c>
      <c r="R3" s="1" t="s">
        <v>48</v>
      </c>
      <c r="S3" s="1" t="str">
        <f>BKV_Eindbeelden[[#This Row],[Beoogde omloop]]&amp;"JR"</f>
        <v>10JR</v>
      </c>
      <c r="T3" s="1" t="s">
        <v>48</v>
      </c>
      <c r="U3" s="1" t="str">
        <f>UPPER(BKV_Eindbeelden[[#This Row],[Boomgrootte]])</f>
        <v>1E GROOTTE</v>
      </c>
      <c r="V3" s="1" t="s">
        <v>48</v>
      </c>
      <c r="W3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3" s="1" t="s">
        <v>48</v>
      </c>
      <c r="Y3" s="1" t="str">
        <f>IF(BKV_Eindbeelden[[#This Row],[Groeitype]]="Regulier Groeiend","REGULIER",IF(BKV_Eindbeelden[[#This Row],[Groeitype]]="Snelgroeiend","SNEL",""))</f>
        <v>SNEL</v>
      </c>
      <c r="Z3" s="1" t="str">
        <f>_xlfn.CONCAT(BKV_Eindbeelden[[#This Row],[Bibliotheeknaam]:[Naamdeel5]])</f>
        <v>SGR-BOOM_10JR_1E GROOTTE_NORMAAL_SNEL</v>
      </c>
    </row>
    <row r="4" spans="1:26" x14ac:dyDescent="0.25">
      <c r="A4" s="1" t="s">
        <v>10</v>
      </c>
      <c r="B4" s="1">
        <v>10</v>
      </c>
      <c r="C4" s="1" t="s">
        <v>16</v>
      </c>
      <c r="D4" s="1" t="s">
        <v>31</v>
      </c>
      <c r="E4" s="8" t="s">
        <v>32</v>
      </c>
      <c r="F4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2</v>
      </c>
      <c r="G4" t="s">
        <v>26</v>
      </c>
      <c r="H4" s="1">
        <v>40</v>
      </c>
      <c r="I4" s="1" t="s">
        <v>33</v>
      </c>
      <c r="J4" s="8">
        <v>2.5</v>
      </c>
      <c r="K4" s="6">
        <f>BKV_Eindbeelden[[#This Row],[Stabiliteitskluitdiameter (m)]]/2</f>
        <v>1.25</v>
      </c>
      <c r="L4" s="1">
        <v>5</v>
      </c>
      <c r="M4" s="1">
        <v>10</v>
      </c>
      <c r="N4" s="5">
        <f>IF(BKV_Eindbeelden[[#This Row],[Stabiliteitskluit Straal (m)]]&lt;0.75,0.75,BKV_Eindbeelden[[#This Row],[Stabiliteitskluit Straal (m)]])</f>
        <v>1.25</v>
      </c>
      <c r="O4" s="1" t="s">
        <v>46</v>
      </c>
      <c r="P4" s="1" t="s">
        <v>43</v>
      </c>
      <c r="Q4" s="1" t="s">
        <v>47</v>
      </c>
      <c r="R4" s="1" t="s">
        <v>48</v>
      </c>
      <c r="S4" s="1" t="str">
        <f>BKV_Eindbeelden[[#This Row],[Beoogde omloop]]&amp;"JR"</f>
        <v>10JR</v>
      </c>
      <c r="T4" s="1" t="s">
        <v>48</v>
      </c>
      <c r="U4" s="1" t="str">
        <f>UPPER(BKV_Eindbeelden[[#This Row],[Boomgrootte]])</f>
        <v>1E GROOTTE</v>
      </c>
      <c r="V4" s="1" t="s">
        <v>48</v>
      </c>
      <c r="W4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4" s="1" t="s">
        <v>48</v>
      </c>
      <c r="Y4" s="1" t="str">
        <f>IF(BKV_Eindbeelden[[#This Row],[Groeitype]]="Regulier Groeiend","REGULIER",IF(BKV_Eindbeelden[[#This Row],[Groeitype]]="Snelgroeiend","SNEL",""))</f>
        <v>SNEL</v>
      </c>
      <c r="Z4" s="1" t="str">
        <f>_xlfn.CONCAT(BKV_Eindbeelden[[#This Row],[Bibliotheeknaam]:[Naamdeel5]])</f>
        <v>SGR-BOOM_10JR_1E GROOTTE_SMAL_SNEL</v>
      </c>
    </row>
    <row r="5" spans="1:26" x14ac:dyDescent="0.25">
      <c r="A5" s="1" t="s">
        <v>38</v>
      </c>
      <c r="B5" s="1">
        <v>10</v>
      </c>
      <c r="C5" s="1" t="s">
        <v>16</v>
      </c>
      <c r="D5" s="1" t="s">
        <v>12</v>
      </c>
      <c r="E5" s="8" t="s">
        <v>25</v>
      </c>
      <c r="F5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5" t="s">
        <v>26</v>
      </c>
      <c r="H5" s="1">
        <v>150</v>
      </c>
      <c r="I5" s="1" t="s">
        <v>27</v>
      </c>
      <c r="J5" s="8">
        <v>3</v>
      </c>
      <c r="K5" s="6">
        <f>BKV_Eindbeelden[[#This Row],[Stabiliteitskluitdiameter (m)]]/2</f>
        <v>1.5</v>
      </c>
      <c r="L5" s="1">
        <v>12.5</v>
      </c>
      <c r="M5" s="1">
        <v>17.5</v>
      </c>
      <c r="N5" s="5">
        <f>IF(BKV_Eindbeelden[[#This Row],[Stabiliteitskluit Straal (m)]]&lt;0.75,0.75,BKV_Eindbeelden[[#This Row],[Stabiliteitskluit Straal (m)]])</f>
        <v>1.5</v>
      </c>
      <c r="O5" s="1" t="s">
        <v>46</v>
      </c>
      <c r="P5" s="1" t="s">
        <v>43</v>
      </c>
      <c r="Q5" s="1" t="s">
        <v>47</v>
      </c>
      <c r="R5" s="1" t="s">
        <v>48</v>
      </c>
      <c r="S5" s="1" t="str">
        <f>BKV_Eindbeelden[[#This Row],[Beoogde omloop]]&amp;"JR"</f>
        <v>10JR</v>
      </c>
      <c r="T5" s="1" t="s">
        <v>48</v>
      </c>
      <c r="U5" s="1" t="str">
        <f>UPPER(BKV_Eindbeelden[[#This Row],[Boomgrootte]])</f>
        <v>2E GROOTTE</v>
      </c>
      <c r="V5" s="1" t="s">
        <v>48</v>
      </c>
      <c r="W5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5" s="1" t="s">
        <v>48</v>
      </c>
      <c r="Y5" s="1" t="str">
        <f>IF(BKV_Eindbeelden[[#This Row],[Groeitype]]="Regulier Groeiend","REGULIER",IF(BKV_Eindbeelden[[#This Row],[Groeitype]]="Snelgroeiend","SNEL",""))</f>
        <v>SNEL</v>
      </c>
      <c r="Z5" s="1" t="str">
        <f>_xlfn.CONCAT(BKV_Eindbeelden[[#This Row],[Bibliotheeknaam]:[Naamdeel5]])</f>
        <v>SGR-BOOM_10JR_2E GROOTTE_BREED_SNEL</v>
      </c>
    </row>
    <row r="6" spans="1:26" x14ac:dyDescent="0.25">
      <c r="A6" s="1" t="s">
        <v>38</v>
      </c>
      <c r="B6" s="1">
        <v>10</v>
      </c>
      <c r="C6" s="1" t="s">
        <v>16</v>
      </c>
      <c r="D6" s="1" t="s">
        <v>24</v>
      </c>
      <c r="E6" s="8" t="s">
        <v>39</v>
      </c>
      <c r="F6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6" t="s">
        <v>40</v>
      </c>
      <c r="H6" s="1">
        <v>75</v>
      </c>
      <c r="I6" s="1" t="s">
        <v>33</v>
      </c>
      <c r="J6" s="8">
        <v>2.5</v>
      </c>
      <c r="K6" s="6">
        <f>BKV_Eindbeelden[[#This Row],[Stabiliteitskluitdiameter (m)]]/2</f>
        <v>1.25</v>
      </c>
      <c r="L6" s="1">
        <v>5</v>
      </c>
      <c r="M6" s="1">
        <v>10</v>
      </c>
      <c r="N6" s="5">
        <f>IF(BKV_Eindbeelden[[#This Row],[Stabiliteitskluit Straal (m)]]&lt;0.75,0.75,BKV_Eindbeelden[[#This Row],[Stabiliteitskluit Straal (m)]])</f>
        <v>1.25</v>
      </c>
      <c r="O6" s="1" t="s">
        <v>46</v>
      </c>
      <c r="P6" s="1" t="s">
        <v>43</v>
      </c>
      <c r="Q6" s="1" t="s">
        <v>47</v>
      </c>
      <c r="R6" s="1" t="s">
        <v>48</v>
      </c>
      <c r="S6" s="1" t="str">
        <f>BKV_Eindbeelden[[#This Row],[Beoogde omloop]]&amp;"JR"</f>
        <v>10JR</v>
      </c>
      <c r="T6" s="1" t="s">
        <v>48</v>
      </c>
      <c r="U6" s="1" t="str">
        <f>UPPER(BKV_Eindbeelden[[#This Row],[Boomgrootte]])</f>
        <v>2E GROOTTE</v>
      </c>
      <c r="V6" s="1" t="s">
        <v>48</v>
      </c>
      <c r="W6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6" s="1" t="s">
        <v>48</v>
      </c>
      <c r="Y6" s="1" t="str">
        <f>IF(BKV_Eindbeelden[[#This Row],[Groeitype]]="Regulier Groeiend","REGULIER",IF(BKV_Eindbeelden[[#This Row],[Groeitype]]="Snelgroeiend","SNEL",""))</f>
        <v>SNEL</v>
      </c>
      <c r="Z6" s="1" t="str">
        <f>_xlfn.CONCAT(BKV_Eindbeelden[[#This Row],[Bibliotheeknaam]:[Naamdeel5]])</f>
        <v>SGR-BOOM_10JR_2E GROOTTE_NORMAAL_SNEL</v>
      </c>
    </row>
    <row r="7" spans="1:26" x14ac:dyDescent="0.25">
      <c r="A7" s="1" t="s">
        <v>38</v>
      </c>
      <c r="B7" s="1">
        <v>10</v>
      </c>
      <c r="C7" s="1" t="s">
        <v>16</v>
      </c>
      <c r="D7" s="1" t="s">
        <v>31</v>
      </c>
      <c r="E7" s="8" t="s">
        <v>41</v>
      </c>
      <c r="F7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2</v>
      </c>
      <c r="G7" t="s">
        <v>40</v>
      </c>
      <c r="H7" s="1">
        <v>20</v>
      </c>
      <c r="I7" s="1" t="s">
        <v>33</v>
      </c>
      <c r="J7" s="8">
        <v>2</v>
      </c>
      <c r="K7" s="6">
        <f>BKV_Eindbeelden[[#This Row],[Stabiliteitskluitdiameter (m)]]/2</f>
        <v>1</v>
      </c>
      <c r="L7" s="1">
        <v>3.5</v>
      </c>
      <c r="M7" s="1">
        <v>7.5</v>
      </c>
      <c r="N7" s="5">
        <f>IF(BKV_Eindbeelden[[#This Row],[Stabiliteitskluit Straal (m)]]&lt;0.75,0.75,BKV_Eindbeelden[[#This Row],[Stabiliteitskluit Straal (m)]])</f>
        <v>1</v>
      </c>
      <c r="O7" s="1" t="s">
        <v>46</v>
      </c>
      <c r="P7" s="1" t="s">
        <v>43</v>
      </c>
      <c r="Q7" s="1" t="s">
        <v>47</v>
      </c>
      <c r="R7" s="1" t="s">
        <v>48</v>
      </c>
      <c r="S7" s="1" t="str">
        <f>BKV_Eindbeelden[[#This Row],[Beoogde omloop]]&amp;"JR"</f>
        <v>10JR</v>
      </c>
      <c r="T7" s="1" t="s">
        <v>48</v>
      </c>
      <c r="U7" s="1" t="str">
        <f>UPPER(BKV_Eindbeelden[[#This Row],[Boomgrootte]])</f>
        <v>2E GROOTTE</v>
      </c>
      <c r="V7" s="1" t="s">
        <v>48</v>
      </c>
      <c r="W7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7" s="1" t="s">
        <v>48</v>
      </c>
      <c r="Y7" s="1" t="str">
        <f>IF(BKV_Eindbeelden[[#This Row],[Groeitype]]="Regulier Groeiend","REGULIER",IF(BKV_Eindbeelden[[#This Row],[Groeitype]]="Snelgroeiend","SNEL",""))</f>
        <v>SNEL</v>
      </c>
      <c r="Z7" s="1" t="str">
        <f>_xlfn.CONCAT(BKV_Eindbeelden[[#This Row],[Bibliotheeknaam]:[Naamdeel5]])</f>
        <v>SGR-BOOM_10JR_2E GROOTTE_SMAL_SNEL</v>
      </c>
    </row>
    <row r="8" spans="1:26" x14ac:dyDescent="0.25">
      <c r="A8" s="1" t="s">
        <v>42</v>
      </c>
      <c r="B8" s="1">
        <v>10</v>
      </c>
      <c r="C8" s="1" t="s">
        <v>16</v>
      </c>
      <c r="D8" s="1" t="s">
        <v>12</v>
      </c>
      <c r="E8" s="8" t="s">
        <v>34</v>
      </c>
      <c r="F8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8" t="s">
        <v>40</v>
      </c>
      <c r="H8" s="1">
        <v>75</v>
      </c>
      <c r="I8" s="1" t="s">
        <v>43</v>
      </c>
      <c r="J8" s="8">
        <v>2.5</v>
      </c>
      <c r="K8" s="6">
        <f>BKV_Eindbeelden[[#This Row],[Stabiliteitskluitdiameter (m)]]/2</f>
        <v>1.25</v>
      </c>
      <c r="L8" s="1">
        <v>7.5</v>
      </c>
      <c r="M8" s="1">
        <v>12.5</v>
      </c>
      <c r="N8" s="5">
        <f>IF(BKV_Eindbeelden[[#This Row],[Stabiliteitskluit Straal (m)]]&lt;0.75,0.75,BKV_Eindbeelden[[#This Row],[Stabiliteitskluit Straal (m)]])</f>
        <v>1.25</v>
      </c>
      <c r="O8" s="1" t="s">
        <v>46</v>
      </c>
      <c r="P8" s="1" t="s">
        <v>43</v>
      </c>
      <c r="Q8" s="1" t="s">
        <v>47</v>
      </c>
      <c r="R8" s="1" t="s">
        <v>48</v>
      </c>
      <c r="S8" s="1" t="str">
        <f>BKV_Eindbeelden[[#This Row],[Beoogde omloop]]&amp;"JR"</f>
        <v>10JR</v>
      </c>
      <c r="T8" s="1" t="s">
        <v>48</v>
      </c>
      <c r="U8" s="1" t="str">
        <f>UPPER(BKV_Eindbeelden[[#This Row],[Boomgrootte]])</f>
        <v>3E GROOTTE</v>
      </c>
      <c r="V8" s="1" t="s">
        <v>48</v>
      </c>
      <c r="W8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8" s="1" t="s">
        <v>48</v>
      </c>
      <c r="Y8" s="1" t="str">
        <f>IF(BKV_Eindbeelden[[#This Row],[Groeitype]]="Regulier Groeiend","REGULIER",IF(BKV_Eindbeelden[[#This Row],[Groeitype]]="Snelgroeiend","SNEL",""))</f>
        <v>SNEL</v>
      </c>
      <c r="Z8" s="1" t="str">
        <f>_xlfn.CONCAT(BKV_Eindbeelden[[#This Row],[Bibliotheeknaam]:[Naamdeel5]])</f>
        <v>SGR-BOOM_10JR_3E GROOTTE_BREED_SNEL</v>
      </c>
    </row>
    <row r="9" spans="1:26" x14ac:dyDescent="0.25">
      <c r="A9" s="1" t="s">
        <v>42</v>
      </c>
      <c r="B9" s="1">
        <v>10</v>
      </c>
      <c r="C9" s="1" t="s">
        <v>16</v>
      </c>
      <c r="D9" s="1" t="s">
        <v>24</v>
      </c>
      <c r="E9" s="8" t="s">
        <v>32</v>
      </c>
      <c r="F9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2</v>
      </c>
      <c r="G9" t="s">
        <v>40</v>
      </c>
      <c r="H9" s="1">
        <v>20</v>
      </c>
      <c r="I9" s="1" t="s">
        <v>43</v>
      </c>
      <c r="J9" s="8">
        <v>2</v>
      </c>
      <c r="K9" s="6">
        <f>BKV_Eindbeelden[[#This Row],[Stabiliteitskluitdiameter (m)]]/2</f>
        <v>1</v>
      </c>
      <c r="L9" s="1">
        <v>3.5</v>
      </c>
      <c r="M9" s="1">
        <v>7.5</v>
      </c>
      <c r="N9" s="5">
        <f>IF(BKV_Eindbeelden[[#This Row],[Stabiliteitskluit Straal (m)]]&lt;0.75,0.75,BKV_Eindbeelden[[#This Row],[Stabiliteitskluit Straal (m)]])</f>
        <v>1</v>
      </c>
      <c r="O9" s="1" t="s">
        <v>46</v>
      </c>
      <c r="P9" s="1" t="s">
        <v>43</v>
      </c>
      <c r="Q9" s="1" t="s">
        <v>47</v>
      </c>
      <c r="R9" s="1" t="s">
        <v>48</v>
      </c>
      <c r="S9" s="1" t="str">
        <f>BKV_Eindbeelden[[#This Row],[Beoogde omloop]]&amp;"JR"</f>
        <v>10JR</v>
      </c>
      <c r="T9" s="1" t="s">
        <v>48</v>
      </c>
      <c r="U9" s="1" t="str">
        <f>UPPER(BKV_Eindbeelden[[#This Row],[Boomgrootte]])</f>
        <v>3E GROOTTE</v>
      </c>
      <c r="V9" s="1" t="s">
        <v>48</v>
      </c>
      <c r="W9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9" s="1" t="s">
        <v>48</v>
      </c>
      <c r="Y9" s="1" t="str">
        <f>IF(BKV_Eindbeelden[[#This Row],[Groeitype]]="Regulier Groeiend","REGULIER",IF(BKV_Eindbeelden[[#This Row],[Groeitype]]="Snelgroeiend","SNEL",""))</f>
        <v>SNEL</v>
      </c>
      <c r="Z9" s="1" t="str">
        <f>_xlfn.CONCAT(BKV_Eindbeelden[[#This Row],[Bibliotheeknaam]:[Naamdeel5]])</f>
        <v>SGR-BOOM_10JR_3E GROOTTE_NORMAAL_SNEL</v>
      </c>
    </row>
    <row r="10" spans="1:26" x14ac:dyDescent="0.25">
      <c r="A10" s="1" t="s">
        <v>42</v>
      </c>
      <c r="B10" s="1">
        <v>10</v>
      </c>
      <c r="C10" s="1" t="s">
        <v>16</v>
      </c>
      <c r="D10" s="1" t="s">
        <v>31</v>
      </c>
      <c r="E10" s="8" t="s">
        <v>45</v>
      </c>
      <c r="F10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1.5</v>
      </c>
      <c r="G10" t="s">
        <v>40</v>
      </c>
      <c r="H10" s="1">
        <v>12</v>
      </c>
      <c r="I10" s="1" t="s">
        <v>43</v>
      </c>
      <c r="J10" s="8">
        <v>2</v>
      </c>
      <c r="K10" s="6">
        <f>BKV_Eindbeelden[[#This Row],[Stabiliteitskluitdiameter (m)]]/2</f>
        <v>1</v>
      </c>
      <c r="L10" s="1">
        <v>2.5</v>
      </c>
      <c r="M10" s="1">
        <v>5</v>
      </c>
      <c r="N10" s="5">
        <f>IF(BKV_Eindbeelden[[#This Row],[Stabiliteitskluit Straal (m)]]&lt;0.75,0.75,BKV_Eindbeelden[[#This Row],[Stabiliteitskluit Straal (m)]])</f>
        <v>1</v>
      </c>
      <c r="O10" s="1" t="s">
        <v>46</v>
      </c>
      <c r="P10" s="1" t="s">
        <v>43</v>
      </c>
      <c r="Q10" s="1" t="s">
        <v>47</v>
      </c>
      <c r="R10" s="1" t="s">
        <v>48</v>
      </c>
      <c r="S10" s="1" t="str">
        <f>BKV_Eindbeelden[[#This Row],[Beoogde omloop]]&amp;"JR"</f>
        <v>10JR</v>
      </c>
      <c r="T10" s="1" t="s">
        <v>48</v>
      </c>
      <c r="U10" s="1" t="str">
        <f>UPPER(BKV_Eindbeelden[[#This Row],[Boomgrootte]])</f>
        <v>3E GROOTTE</v>
      </c>
      <c r="V10" s="1" t="s">
        <v>48</v>
      </c>
      <c r="W10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10" s="1" t="s">
        <v>48</v>
      </c>
      <c r="Y10" s="1" t="str">
        <f>IF(BKV_Eindbeelden[[#This Row],[Groeitype]]="Regulier Groeiend","REGULIER",IF(BKV_Eindbeelden[[#This Row],[Groeitype]]="Snelgroeiend","SNEL",""))</f>
        <v>SNEL</v>
      </c>
      <c r="Z10" s="1" t="str">
        <f>_xlfn.CONCAT(BKV_Eindbeelden[[#This Row],[Bibliotheeknaam]:[Naamdeel5]])</f>
        <v>SGR-BOOM_10JR_3E GROOTTE_SMAL_SNEL</v>
      </c>
    </row>
    <row r="11" spans="1:26" x14ac:dyDescent="0.25">
      <c r="A11" s="1" t="s">
        <v>64</v>
      </c>
      <c r="B11" s="1">
        <v>10</v>
      </c>
      <c r="C11" s="1" t="s">
        <v>16</v>
      </c>
      <c r="D11" s="1" t="s">
        <v>12</v>
      </c>
      <c r="E11" s="16" t="s">
        <v>65</v>
      </c>
      <c r="F11" s="12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2</v>
      </c>
      <c r="G11" t="s">
        <v>40</v>
      </c>
      <c r="H11" s="1">
        <v>20</v>
      </c>
      <c r="I11" s="1" t="s">
        <v>43</v>
      </c>
      <c r="J11" s="16">
        <v>2</v>
      </c>
      <c r="K11" s="13">
        <f>BKV_Eindbeelden[[#This Row],[Stabiliteitskluitdiameter (m)]]/2</f>
        <v>1</v>
      </c>
      <c r="L11" s="1">
        <v>3.5</v>
      </c>
      <c r="M11" s="1">
        <v>7.5</v>
      </c>
      <c r="N11" s="14">
        <f>IF(BKV_Eindbeelden[[#This Row],[Stabiliteitskluit Straal (m)]]&lt;0.75,0.75,BKV_Eindbeelden[[#This Row],[Stabiliteitskluit Straal (m)]])</f>
        <v>1</v>
      </c>
      <c r="O11" s="1" t="s">
        <v>46</v>
      </c>
      <c r="P11" s="1" t="s">
        <v>43</v>
      </c>
      <c r="Q11" s="1" t="s">
        <v>47</v>
      </c>
      <c r="R11" s="1" t="s">
        <v>48</v>
      </c>
      <c r="S11" s="1" t="str">
        <f>BKV_Eindbeelden[[#This Row],[Beoogde omloop]]&amp;"JR"</f>
        <v>10JR</v>
      </c>
      <c r="T11" s="1" t="s">
        <v>48</v>
      </c>
      <c r="U11" s="1" t="str">
        <f>UPPER(BKV_Eindbeelden[[#This Row],[Boomgrootte]])</f>
        <v>VORMBOOM</v>
      </c>
      <c r="V11" s="1" t="s">
        <v>48</v>
      </c>
      <c r="W11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11" s="1" t="s">
        <v>48</v>
      </c>
      <c r="Y11" s="1" t="str">
        <f>IF(BKV_Eindbeelden[[#This Row],[Groeitype]]="Regulier Groeiend","REGULIER",IF(BKV_Eindbeelden[[#This Row],[Groeitype]]="Snelgroeiend","SNEL",""))</f>
        <v>SNEL</v>
      </c>
      <c r="Z11" s="1" t="str">
        <f>_xlfn.CONCAT(BKV_Eindbeelden[[#This Row],[Bibliotheeknaam]:[Naamdeel5]])</f>
        <v>SGR-BOOM_10JR_VORMBOOM_BREED_SNEL</v>
      </c>
    </row>
    <row r="12" spans="1:26" x14ac:dyDescent="0.25">
      <c r="A12" s="1" t="s">
        <v>64</v>
      </c>
      <c r="B12" s="1">
        <v>10</v>
      </c>
      <c r="C12" s="1" t="s">
        <v>16</v>
      </c>
      <c r="D12" s="1" t="s">
        <v>24</v>
      </c>
      <c r="E12" s="8" t="s">
        <v>68</v>
      </c>
      <c r="F12" s="12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1.5</v>
      </c>
      <c r="G12" t="s">
        <v>40</v>
      </c>
      <c r="H12" s="1">
        <v>12</v>
      </c>
      <c r="I12" s="1" t="s">
        <v>43</v>
      </c>
      <c r="J12" s="8">
        <v>2</v>
      </c>
      <c r="K12" s="13">
        <f>BKV_Eindbeelden[[#This Row],[Stabiliteitskluitdiameter (m)]]/2</f>
        <v>1</v>
      </c>
      <c r="L12" s="1">
        <v>2.5</v>
      </c>
      <c r="M12" s="1">
        <v>5</v>
      </c>
      <c r="N12" s="14">
        <f>IF(BKV_Eindbeelden[[#This Row],[Stabiliteitskluit Straal (m)]]&lt;0.75,0.75,BKV_Eindbeelden[[#This Row],[Stabiliteitskluit Straal (m)]])</f>
        <v>1</v>
      </c>
      <c r="O12" s="1" t="s">
        <v>46</v>
      </c>
      <c r="P12" s="1" t="s">
        <v>43</v>
      </c>
      <c r="Q12" s="1" t="s">
        <v>47</v>
      </c>
      <c r="R12" s="1" t="s">
        <v>48</v>
      </c>
      <c r="S12" s="1" t="str">
        <f>BKV_Eindbeelden[[#This Row],[Beoogde omloop]]&amp;"JR"</f>
        <v>10JR</v>
      </c>
      <c r="T12" s="1" t="s">
        <v>48</v>
      </c>
      <c r="U12" s="1" t="str">
        <f>UPPER(BKV_Eindbeelden[[#This Row],[Boomgrootte]])</f>
        <v>VORMBOOM</v>
      </c>
      <c r="V12" s="1" t="s">
        <v>48</v>
      </c>
      <c r="W12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12" s="1" t="s">
        <v>48</v>
      </c>
      <c r="Y12" s="1" t="str">
        <f>IF(BKV_Eindbeelden[[#This Row],[Groeitype]]="Regulier Groeiend","REGULIER",IF(BKV_Eindbeelden[[#This Row],[Groeitype]]="Snelgroeiend","SNEL",""))</f>
        <v>SNEL</v>
      </c>
      <c r="Z12" s="1" t="str">
        <f>_xlfn.CONCAT(BKV_Eindbeelden[[#This Row],[Bibliotheeknaam]:[Naamdeel5]])</f>
        <v>SGR-BOOM_10JR_VORMBOOM_NORMAAL_SNEL</v>
      </c>
    </row>
    <row r="13" spans="1:26" x14ac:dyDescent="0.25">
      <c r="A13" s="1" t="s">
        <v>64</v>
      </c>
      <c r="B13" s="1">
        <v>10</v>
      </c>
      <c r="C13" s="1" t="s">
        <v>16</v>
      </c>
      <c r="D13" s="1" t="s">
        <v>31</v>
      </c>
      <c r="E13" s="8" t="s">
        <v>69</v>
      </c>
      <c r="F13" s="12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1</v>
      </c>
      <c r="G13" t="s">
        <v>40</v>
      </c>
      <c r="H13" s="1">
        <v>5</v>
      </c>
      <c r="I13" s="1" t="s">
        <v>43</v>
      </c>
      <c r="J13" s="8">
        <v>1.5</v>
      </c>
      <c r="K13" s="13">
        <f>BKV_Eindbeelden[[#This Row],[Stabiliteitskluitdiameter (m)]]/2</f>
        <v>0.75</v>
      </c>
      <c r="L13" s="1">
        <v>2</v>
      </c>
      <c r="M13" s="1">
        <v>4</v>
      </c>
      <c r="N13" s="14">
        <f>IF(BKV_Eindbeelden[[#This Row],[Stabiliteitskluit Straal (m)]]&lt;0.75,0.75,BKV_Eindbeelden[[#This Row],[Stabiliteitskluit Straal (m)]])</f>
        <v>0.75</v>
      </c>
      <c r="O13" s="1" t="s">
        <v>46</v>
      </c>
      <c r="P13" s="1" t="s">
        <v>43</v>
      </c>
      <c r="Q13" s="1" t="s">
        <v>47</v>
      </c>
      <c r="R13" s="1" t="s">
        <v>48</v>
      </c>
      <c r="S13" s="1" t="str">
        <f>BKV_Eindbeelden[[#This Row],[Beoogde omloop]]&amp;"JR"</f>
        <v>10JR</v>
      </c>
      <c r="T13" s="1" t="s">
        <v>48</v>
      </c>
      <c r="U13" s="1" t="str">
        <f>UPPER(BKV_Eindbeelden[[#This Row],[Boomgrootte]])</f>
        <v>VORMBOOM</v>
      </c>
      <c r="V13" s="1" t="s">
        <v>48</v>
      </c>
      <c r="W13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13" s="1" t="s">
        <v>48</v>
      </c>
      <c r="Y13" s="1" t="str">
        <f>IF(BKV_Eindbeelden[[#This Row],[Groeitype]]="Regulier Groeiend","REGULIER",IF(BKV_Eindbeelden[[#This Row],[Groeitype]]="Snelgroeiend","SNEL",""))</f>
        <v>SNEL</v>
      </c>
      <c r="Z13" s="1" t="str">
        <f>_xlfn.CONCAT(BKV_Eindbeelden[[#This Row],[Bibliotheeknaam]:[Naamdeel5]])</f>
        <v>SGR-BOOM_10JR_VORMBOOM_SMAL_SNEL</v>
      </c>
    </row>
    <row r="14" spans="1:26" x14ac:dyDescent="0.25">
      <c r="A14" s="1" t="s">
        <v>10</v>
      </c>
      <c r="B14" s="1">
        <v>20</v>
      </c>
      <c r="C14" s="1" t="s">
        <v>11</v>
      </c>
      <c r="D14" s="1" t="s">
        <v>12</v>
      </c>
      <c r="E14" s="8" t="s">
        <v>13</v>
      </c>
      <c r="F14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6.25</v>
      </c>
      <c r="G14" t="s">
        <v>14</v>
      </c>
      <c r="H14" s="1">
        <v>750</v>
      </c>
      <c r="I14" s="1" t="s">
        <v>15</v>
      </c>
      <c r="J14" s="8">
        <v>4</v>
      </c>
      <c r="K14" s="6">
        <f>BKV_Eindbeelden[[#This Row],[Stabiliteitskluitdiameter (m)]]/2</f>
        <v>2</v>
      </c>
      <c r="L14" s="1">
        <v>20</v>
      </c>
      <c r="M14" s="1">
        <v>30</v>
      </c>
      <c r="N14" s="5">
        <f>IF(BKV_Eindbeelden[[#This Row],[Stabiliteitskluit Straal (m)]]&lt;0.75,0.75,BKV_Eindbeelden[[#This Row],[Stabiliteitskluit Straal (m)]])</f>
        <v>2</v>
      </c>
      <c r="O14" s="1" t="s">
        <v>46</v>
      </c>
      <c r="P14" s="1" t="s">
        <v>43</v>
      </c>
      <c r="Q14" s="1" t="s">
        <v>47</v>
      </c>
      <c r="R14" s="1" t="s">
        <v>48</v>
      </c>
      <c r="S14" s="1" t="str">
        <f>BKV_Eindbeelden[[#This Row],[Beoogde omloop]]&amp;"JR"</f>
        <v>20JR</v>
      </c>
      <c r="T14" s="1" t="s">
        <v>48</v>
      </c>
      <c r="U14" s="1" t="str">
        <f>UPPER(BKV_Eindbeelden[[#This Row],[Boomgrootte]])</f>
        <v>1E GROOTTE</v>
      </c>
      <c r="V14" s="1" t="s">
        <v>48</v>
      </c>
      <c r="W14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14" s="1" t="s">
        <v>48</v>
      </c>
      <c r="Y14" s="1" t="str">
        <f>IF(BKV_Eindbeelden[[#This Row],[Groeitype]]="Regulier Groeiend","REGULIER",IF(BKV_Eindbeelden[[#This Row],[Groeitype]]="Snelgroeiend","SNEL",""))</f>
        <v>REGULIER</v>
      </c>
      <c r="Z14" s="1" t="str">
        <f>_xlfn.CONCAT(BKV_Eindbeelden[[#This Row],[Bibliotheeknaam]:[Naamdeel5]])</f>
        <v>SGR-BOOM_20JR_1E GROOTTE_BREED_REGULIER</v>
      </c>
    </row>
    <row r="15" spans="1:26" x14ac:dyDescent="0.25">
      <c r="A15" s="1" t="s">
        <v>10</v>
      </c>
      <c r="B15" s="1">
        <v>20</v>
      </c>
      <c r="C15" s="1" t="s">
        <v>16</v>
      </c>
      <c r="D15" s="1" t="s">
        <v>12</v>
      </c>
      <c r="E15" s="8" t="s">
        <v>17</v>
      </c>
      <c r="F15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8.75</v>
      </c>
      <c r="G15" t="s">
        <v>18</v>
      </c>
      <c r="H15" s="1">
        <v>2400</v>
      </c>
      <c r="I15" s="1" t="s">
        <v>19</v>
      </c>
      <c r="J15" s="8">
        <v>4.5</v>
      </c>
      <c r="K15" s="6">
        <f>BKV_Eindbeelden[[#This Row],[Stabiliteitskluitdiameter (m)]]/2</f>
        <v>2.25</v>
      </c>
      <c r="L15" s="1">
        <v>30</v>
      </c>
      <c r="M15" s="1">
        <v>50</v>
      </c>
      <c r="N15" s="5">
        <f>IF(BKV_Eindbeelden[[#This Row],[Stabiliteitskluit Straal (m)]]&lt;0.75,0.75,BKV_Eindbeelden[[#This Row],[Stabiliteitskluit Straal (m)]])</f>
        <v>2.25</v>
      </c>
      <c r="O15" s="1" t="s">
        <v>46</v>
      </c>
      <c r="P15" s="1" t="s">
        <v>43</v>
      </c>
      <c r="Q15" s="1" t="s">
        <v>47</v>
      </c>
      <c r="R15" s="1" t="s">
        <v>48</v>
      </c>
      <c r="S15" s="1" t="str">
        <f>BKV_Eindbeelden[[#This Row],[Beoogde omloop]]&amp;"JR"</f>
        <v>20JR</v>
      </c>
      <c r="T15" s="1" t="s">
        <v>48</v>
      </c>
      <c r="U15" s="1" t="str">
        <f>UPPER(BKV_Eindbeelden[[#This Row],[Boomgrootte]])</f>
        <v>1E GROOTTE</v>
      </c>
      <c r="V15" s="1" t="s">
        <v>48</v>
      </c>
      <c r="W15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15" s="1" t="s">
        <v>48</v>
      </c>
      <c r="Y15" s="1" t="str">
        <f>IF(BKV_Eindbeelden[[#This Row],[Groeitype]]="Regulier Groeiend","REGULIER",IF(BKV_Eindbeelden[[#This Row],[Groeitype]]="Snelgroeiend","SNEL",""))</f>
        <v>SNEL</v>
      </c>
      <c r="Z15" s="1" t="str">
        <f>_xlfn.CONCAT(BKV_Eindbeelden[[#This Row],[Bibliotheeknaam]:[Naamdeel5]])</f>
        <v>SGR-BOOM_20JR_1E GROOTTE_BREED_SNEL</v>
      </c>
    </row>
    <row r="16" spans="1:26" x14ac:dyDescent="0.25">
      <c r="A16" s="1" t="s">
        <v>10</v>
      </c>
      <c r="B16" s="1">
        <v>20</v>
      </c>
      <c r="C16" s="1" t="s">
        <v>11</v>
      </c>
      <c r="D16" s="1" t="s">
        <v>24</v>
      </c>
      <c r="E16" s="8" t="s">
        <v>25</v>
      </c>
      <c r="F16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16" t="s">
        <v>26</v>
      </c>
      <c r="H16" s="1">
        <v>150</v>
      </c>
      <c r="I16" s="1" t="s">
        <v>27</v>
      </c>
      <c r="J16" s="8">
        <v>3</v>
      </c>
      <c r="K16" s="6">
        <f>BKV_Eindbeelden[[#This Row],[Stabiliteitskluitdiameter (m)]]/2</f>
        <v>1.5</v>
      </c>
      <c r="L16" s="1">
        <v>12.5</v>
      </c>
      <c r="M16" s="1">
        <v>17.5</v>
      </c>
      <c r="N16" s="5">
        <f>IF(BKV_Eindbeelden[[#This Row],[Stabiliteitskluit Straal (m)]]&lt;0.75,0.75,BKV_Eindbeelden[[#This Row],[Stabiliteitskluit Straal (m)]])</f>
        <v>1.5</v>
      </c>
      <c r="O16" s="1" t="s">
        <v>46</v>
      </c>
      <c r="P16" s="1" t="s">
        <v>43</v>
      </c>
      <c r="Q16" s="1" t="s">
        <v>47</v>
      </c>
      <c r="R16" s="1" t="s">
        <v>48</v>
      </c>
      <c r="S16" s="1" t="str">
        <f>BKV_Eindbeelden[[#This Row],[Beoogde omloop]]&amp;"JR"</f>
        <v>20JR</v>
      </c>
      <c r="T16" s="1" t="s">
        <v>48</v>
      </c>
      <c r="U16" s="1" t="str">
        <f>UPPER(BKV_Eindbeelden[[#This Row],[Boomgrootte]])</f>
        <v>1E GROOTTE</v>
      </c>
      <c r="V16" s="1" t="s">
        <v>48</v>
      </c>
      <c r="W16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16" s="1" t="s">
        <v>48</v>
      </c>
      <c r="Y16" s="1" t="str">
        <f>IF(BKV_Eindbeelden[[#This Row],[Groeitype]]="Regulier Groeiend","REGULIER",IF(BKV_Eindbeelden[[#This Row],[Groeitype]]="Snelgroeiend","SNEL",""))</f>
        <v>REGULIER</v>
      </c>
      <c r="Z16" s="1" t="str">
        <f>_xlfn.CONCAT(BKV_Eindbeelden[[#This Row],[Bibliotheeknaam]:[Naamdeel5]])</f>
        <v>SGR-BOOM_20JR_1E GROOTTE_NORMAAL_REGULIER</v>
      </c>
    </row>
    <row r="17" spans="1:26" x14ac:dyDescent="0.25">
      <c r="A17" s="1" t="s">
        <v>10</v>
      </c>
      <c r="B17" s="1">
        <v>20</v>
      </c>
      <c r="C17" s="1" t="s">
        <v>16</v>
      </c>
      <c r="D17" s="1" t="s">
        <v>24</v>
      </c>
      <c r="E17" s="8" t="s">
        <v>28</v>
      </c>
      <c r="F17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6.25</v>
      </c>
      <c r="G17" t="s">
        <v>14</v>
      </c>
      <c r="H17" s="1">
        <v>750</v>
      </c>
      <c r="I17" s="1" t="s">
        <v>15</v>
      </c>
      <c r="J17" s="8">
        <v>4</v>
      </c>
      <c r="K17" s="6">
        <f>BKV_Eindbeelden[[#This Row],[Stabiliteitskluitdiameter (m)]]/2</f>
        <v>2</v>
      </c>
      <c r="L17" s="1">
        <v>20</v>
      </c>
      <c r="M17" s="1">
        <v>30</v>
      </c>
      <c r="N17" s="5">
        <f>IF(BKV_Eindbeelden[[#This Row],[Stabiliteitskluit Straal (m)]]&lt;0.75,0.75,BKV_Eindbeelden[[#This Row],[Stabiliteitskluit Straal (m)]])</f>
        <v>2</v>
      </c>
      <c r="O17" s="1" t="s">
        <v>46</v>
      </c>
      <c r="P17" s="1" t="s">
        <v>43</v>
      </c>
      <c r="Q17" s="1" t="s">
        <v>47</v>
      </c>
      <c r="R17" s="1" t="s">
        <v>48</v>
      </c>
      <c r="S17" s="1" t="str">
        <f>BKV_Eindbeelden[[#This Row],[Beoogde omloop]]&amp;"JR"</f>
        <v>20JR</v>
      </c>
      <c r="T17" s="1" t="s">
        <v>48</v>
      </c>
      <c r="U17" s="1" t="str">
        <f>UPPER(BKV_Eindbeelden[[#This Row],[Boomgrootte]])</f>
        <v>1E GROOTTE</v>
      </c>
      <c r="V17" s="1" t="s">
        <v>48</v>
      </c>
      <c r="W17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17" s="1" t="s">
        <v>48</v>
      </c>
      <c r="Y17" s="1" t="str">
        <f>IF(BKV_Eindbeelden[[#This Row],[Groeitype]]="Regulier Groeiend","REGULIER",IF(BKV_Eindbeelden[[#This Row],[Groeitype]]="Snelgroeiend","SNEL",""))</f>
        <v>SNEL</v>
      </c>
      <c r="Z17" s="1" t="str">
        <f>_xlfn.CONCAT(BKV_Eindbeelden[[#This Row],[Bibliotheeknaam]:[Naamdeel5]])</f>
        <v>SGR-BOOM_20JR_1E GROOTTE_NORMAAL_SNEL</v>
      </c>
    </row>
    <row r="18" spans="1:26" x14ac:dyDescent="0.25">
      <c r="A18" s="1" t="s">
        <v>10</v>
      </c>
      <c r="B18" s="1">
        <v>20</v>
      </c>
      <c r="C18" s="1" t="s">
        <v>11</v>
      </c>
      <c r="D18" s="1" t="s">
        <v>31</v>
      </c>
      <c r="E18" s="8" t="s">
        <v>32</v>
      </c>
      <c r="F18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2</v>
      </c>
      <c r="G18" t="s">
        <v>26</v>
      </c>
      <c r="H18" s="1">
        <v>40</v>
      </c>
      <c r="I18" s="1" t="s">
        <v>33</v>
      </c>
      <c r="J18" s="8">
        <v>2.5</v>
      </c>
      <c r="K18" s="6">
        <f>BKV_Eindbeelden[[#This Row],[Stabiliteitskluitdiameter (m)]]/2</f>
        <v>1.25</v>
      </c>
      <c r="L18" s="1">
        <v>5</v>
      </c>
      <c r="M18" s="1">
        <v>10</v>
      </c>
      <c r="N18" s="5">
        <f>IF(BKV_Eindbeelden[[#This Row],[Stabiliteitskluit Straal (m)]]&lt;0.75,0.75,BKV_Eindbeelden[[#This Row],[Stabiliteitskluit Straal (m)]])</f>
        <v>1.25</v>
      </c>
      <c r="O18" s="1" t="s">
        <v>46</v>
      </c>
      <c r="P18" s="1" t="s">
        <v>43</v>
      </c>
      <c r="Q18" s="1" t="s">
        <v>47</v>
      </c>
      <c r="R18" s="1" t="s">
        <v>48</v>
      </c>
      <c r="S18" s="1" t="str">
        <f>BKV_Eindbeelden[[#This Row],[Beoogde omloop]]&amp;"JR"</f>
        <v>20JR</v>
      </c>
      <c r="T18" s="1" t="s">
        <v>48</v>
      </c>
      <c r="U18" s="1" t="str">
        <f>UPPER(BKV_Eindbeelden[[#This Row],[Boomgrootte]])</f>
        <v>1E GROOTTE</v>
      </c>
      <c r="V18" s="1" t="s">
        <v>48</v>
      </c>
      <c r="W18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18" s="1" t="s">
        <v>48</v>
      </c>
      <c r="Y18" s="1" t="str">
        <f>IF(BKV_Eindbeelden[[#This Row],[Groeitype]]="Regulier Groeiend","REGULIER",IF(BKV_Eindbeelden[[#This Row],[Groeitype]]="Snelgroeiend","SNEL",""))</f>
        <v>REGULIER</v>
      </c>
      <c r="Z18" s="1" t="str">
        <f>_xlfn.CONCAT(BKV_Eindbeelden[[#This Row],[Bibliotheeknaam]:[Naamdeel5]])</f>
        <v>SGR-BOOM_20JR_1E GROOTTE_SMAL_REGULIER</v>
      </c>
    </row>
    <row r="19" spans="1:26" x14ac:dyDescent="0.25">
      <c r="A19" s="1" t="s">
        <v>10</v>
      </c>
      <c r="B19" s="1">
        <v>20</v>
      </c>
      <c r="C19" s="1" t="s">
        <v>16</v>
      </c>
      <c r="D19" s="1" t="s">
        <v>31</v>
      </c>
      <c r="E19" s="8" t="s">
        <v>34</v>
      </c>
      <c r="F19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19" t="s">
        <v>14</v>
      </c>
      <c r="H19" s="1">
        <v>270</v>
      </c>
      <c r="I19" s="1" t="s">
        <v>35</v>
      </c>
      <c r="J19" s="8">
        <v>3</v>
      </c>
      <c r="K19" s="6">
        <f>BKV_Eindbeelden[[#This Row],[Stabiliteitskluitdiameter (m)]]/2</f>
        <v>1.5</v>
      </c>
      <c r="L19" s="1">
        <v>15</v>
      </c>
      <c r="M19" s="1">
        <v>22.5</v>
      </c>
      <c r="N19" s="5">
        <f>IF(BKV_Eindbeelden[[#This Row],[Stabiliteitskluit Straal (m)]]&lt;0.75,0.75,BKV_Eindbeelden[[#This Row],[Stabiliteitskluit Straal (m)]])</f>
        <v>1.5</v>
      </c>
      <c r="O19" s="1" t="s">
        <v>46</v>
      </c>
      <c r="P19" s="1" t="s">
        <v>43</v>
      </c>
      <c r="Q19" s="1" t="s">
        <v>47</v>
      </c>
      <c r="R19" s="1" t="s">
        <v>48</v>
      </c>
      <c r="S19" s="1" t="str">
        <f>BKV_Eindbeelden[[#This Row],[Beoogde omloop]]&amp;"JR"</f>
        <v>20JR</v>
      </c>
      <c r="T19" s="1" t="s">
        <v>48</v>
      </c>
      <c r="U19" s="1" t="str">
        <f>UPPER(BKV_Eindbeelden[[#This Row],[Boomgrootte]])</f>
        <v>1E GROOTTE</v>
      </c>
      <c r="V19" s="1" t="s">
        <v>48</v>
      </c>
      <c r="W19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19" s="1" t="s">
        <v>48</v>
      </c>
      <c r="Y19" s="1" t="str">
        <f>IF(BKV_Eindbeelden[[#This Row],[Groeitype]]="Regulier Groeiend","REGULIER",IF(BKV_Eindbeelden[[#This Row],[Groeitype]]="Snelgroeiend","SNEL",""))</f>
        <v>SNEL</v>
      </c>
      <c r="Z19" s="1" t="str">
        <f>_xlfn.CONCAT(BKV_Eindbeelden[[#This Row],[Bibliotheeknaam]:[Naamdeel5]])</f>
        <v>SGR-BOOM_20JR_1E GROOTTE_SMAL_SNEL</v>
      </c>
    </row>
    <row r="20" spans="1:26" x14ac:dyDescent="0.25">
      <c r="A20" s="1" t="s">
        <v>38</v>
      </c>
      <c r="B20" s="1">
        <v>20</v>
      </c>
      <c r="C20" s="1" t="s">
        <v>11</v>
      </c>
      <c r="D20" s="1" t="s">
        <v>12</v>
      </c>
      <c r="E20" s="8" t="s">
        <v>25</v>
      </c>
      <c r="F20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20" t="s">
        <v>26</v>
      </c>
      <c r="H20" s="1">
        <v>150</v>
      </c>
      <c r="I20" s="1" t="s">
        <v>27</v>
      </c>
      <c r="J20" s="8">
        <v>3</v>
      </c>
      <c r="K20" s="6">
        <f>BKV_Eindbeelden[[#This Row],[Stabiliteitskluitdiameter (m)]]/2</f>
        <v>1.5</v>
      </c>
      <c r="L20" s="1">
        <v>12.5</v>
      </c>
      <c r="M20" s="1">
        <v>17.5</v>
      </c>
      <c r="N20" s="5">
        <f>IF(BKV_Eindbeelden[[#This Row],[Stabiliteitskluit Straal (m)]]&lt;0.75,0.75,BKV_Eindbeelden[[#This Row],[Stabiliteitskluit Straal (m)]])</f>
        <v>1.5</v>
      </c>
      <c r="O20" s="1" t="s">
        <v>46</v>
      </c>
      <c r="P20" s="1" t="s">
        <v>43</v>
      </c>
      <c r="Q20" s="1" t="s">
        <v>47</v>
      </c>
      <c r="R20" s="1" t="s">
        <v>48</v>
      </c>
      <c r="S20" s="1" t="str">
        <f>BKV_Eindbeelden[[#This Row],[Beoogde omloop]]&amp;"JR"</f>
        <v>20JR</v>
      </c>
      <c r="T20" s="1" t="s">
        <v>48</v>
      </c>
      <c r="U20" s="1" t="str">
        <f>UPPER(BKV_Eindbeelden[[#This Row],[Boomgrootte]])</f>
        <v>2E GROOTTE</v>
      </c>
      <c r="V20" s="1" t="s">
        <v>48</v>
      </c>
      <c r="W20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20" s="1" t="s">
        <v>48</v>
      </c>
      <c r="Y20" s="1" t="str">
        <f>IF(BKV_Eindbeelden[[#This Row],[Groeitype]]="Regulier Groeiend","REGULIER",IF(BKV_Eindbeelden[[#This Row],[Groeitype]]="Snelgroeiend","SNEL",""))</f>
        <v>REGULIER</v>
      </c>
      <c r="Z20" s="1" t="str">
        <f>_xlfn.CONCAT(BKV_Eindbeelden[[#This Row],[Bibliotheeknaam]:[Naamdeel5]])</f>
        <v>SGR-BOOM_20JR_2E GROOTTE_BREED_REGULIER</v>
      </c>
    </row>
    <row r="21" spans="1:26" x14ac:dyDescent="0.25">
      <c r="A21" s="1" t="s">
        <v>38</v>
      </c>
      <c r="B21" s="1">
        <v>20</v>
      </c>
      <c r="C21" s="1" t="s">
        <v>16</v>
      </c>
      <c r="D21" s="1" t="s">
        <v>12</v>
      </c>
      <c r="E21" s="8" t="s">
        <v>28</v>
      </c>
      <c r="F21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6.25</v>
      </c>
      <c r="G21" t="s">
        <v>26</v>
      </c>
      <c r="H21" s="1">
        <v>415</v>
      </c>
      <c r="I21" s="1" t="s">
        <v>35</v>
      </c>
      <c r="J21" s="8">
        <v>3.5</v>
      </c>
      <c r="K21" s="6">
        <f>BKV_Eindbeelden[[#This Row],[Stabiliteitskluitdiameter (m)]]/2</f>
        <v>1.75</v>
      </c>
      <c r="L21" s="1">
        <v>17.5</v>
      </c>
      <c r="M21" s="1">
        <v>25</v>
      </c>
      <c r="N21" s="5">
        <f>IF(BKV_Eindbeelden[[#This Row],[Stabiliteitskluit Straal (m)]]&lt;0.75,0.75,BKV_Eindbeelden[[#This Row],[Stabiliteitskluit Straal (m)]])</f>
        <v>1.75</v>
      </c>
      <c r="O21" s="1" t="s">
        <v>46</v>
      </c>
      <c r="P21" s="1" t="s">
        <v>43</v>
      </c>
      <c r="Q21" s="1" t="s">
        <v>47</v>
      </c>
      <c r="R21" s="1" t="s">
        <v>48</v>
      </c>
      <c r="S21" s="1" t="str">
        <f>BKV_Eindbeelden[[#This Row],[Beoogde omloop]]&amp;"JR"</f>
        <v>20JR</v>
      </c>
      <c r="T21" s="1" t="s">
        <v>48</v>
      </c>
      <c r="U21" s="1" t="str">
        <f>UPPER(BKV_Eindbeelden[[#This Row],[Boomgrootte]])</f>
        <v>2E GROOTTE</v>
      </c>
      <c r="V21" s="1" t="s">
        <v>48</v>
      </c>
      <c r="W21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21" s="1" t="s">
        <v>48</v>
      </c>
      <c r="Y21" s="1" t="str">
        <f>IF(BKV_Eindbeelden[[#This Row],[Groeitype]]="Regulier Groeiend","REGULIER",IF(BKV_Eindbeelden[[#This Row],[Groeitype]]="Snelgroeiend","SNEL",""))</f>
        <v>SNEL</v>
      </c>
      <c r="Z21" s="1" t="str">
        <f>_xlfn.CONCAT(BKV_Eindbeelden[[#This Row],[Bibliotheeknaam]:[Naamdeel5]])</f>
        <v>SGR-BOOM_20JR_2E GROOTTE_BREED_SNEL</v>
      </c>
    </row>
    <row r="22" spans="1:26" x14ac:dyDescent="0.25">
      <c r="A22" s="1" t="s">
        <v>38</v>
      </c>
      <c r="B22" s="1">
        <v>20</v>
      </c>
      <c r="C22" s="1" t="s">
        <v>11</v>
      </c>
      <c r="D22" s="1" t="s">
        <v>24</v>
      </c>
      <c r="E22" s="8" t="s">
        <v>39</v>
      </c>
      <c r="F22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22" t="s">
        <v>40</v>
      </c>
      <c r="H22" s="1">
        <v>75</v>
      </c>
      <c r="I22" s="1" t="s">
        <v>33</v>
      </c>
      <c r="J22" s="8">
        <v>2.5</v>
      </c>
      <c r="K22" s="6">
        <f>BKV_Eindbeelden[[#This Row],[Stabiliteitskluitdiameter (m)]]/2</f>
        <v>1.25</v>
      </c>
      <c r="L22" s="1">
        <v>5</v>
      </c>
      <c r="M22" s="1">
        <v>10</v>
      </c>
      <c r="N22" s="5">
        <f>IF(BKV_Eindbeelden[[#This Row],[Stabiliteitskluit Straal (m)]]&lt;0.75,0.75,BKV_Eindbeelden[[#This Row],[Stabiliteitskluit Straal (m)]])</f>
        <v>1.25</v>
      </c>
      <c r="O22" s="1" t="s">
        <v>46</v>
      </c>
      <c r="P22" s="1" t="s">
        <v>43</v>
      </c>
      <c r="Q22" s="1" t="s">
        <v>47</v>
      </c>
      <c r="R22" s="1" t="s">
        <v>48</v>
      </c>
      <c r="S22" s="1" t="str">
        <f>BKV_Eindbeelden[[#This Row],[Beoogde omloop]]&amp;"JR"</f>
        <v>20JR</v>
      </c>
      <c r="T22" s="1" t="s">
        <v>48</v>
      </c>
      <c r="U22" s="1" t="str">
        <f>UPPER(BKV_Eindbeelden[[#This Row],[Boomgrootte]])</f>
        <v>2E GROOTTE</v>
      </c>
      <c r="V22" s="1" t="s">
        <v>48</v>
      </c>
      <c r="W22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22" s="1" t="s">
        <v>48</v>
      </c>
      <c r="Y22" s="1" t="str">
        <f>IF(BKV_Eindbeelden[[#This Row],[Groeitype]]="Regulier Groeiend","REGULIER",IF(BKV_Eindbeelden[[#This Row],[Groeitype]]="Snelgroeiend","SNEL",""))</f>
        <v>REGULIER</v>
      </c>
      <c r="Z22" s="1" t="str">
        <f>_xlfn.CONCAT(BKV_Eindbeelden[[#This Row],[Bibliotheeknaam]:[Naamdeel5]])</f>
        <v>SGR-BOOM_20JR_2E GROOTTE_NORMAAL_REGULIER</v>
      </c>
    </row>
    <row r="23" spans="1:26" x14ac:dyDescent="0.25">
      <c r="A23" s="1" t="s">
        <v>38</v>
      </c>
      <c r="B23" s="1">
        <v>20</v>
      </c>
      <c r="C23" s="1" t="s">
        <v>16</v>
      </c>
      <c r="D23" s="1" t="s">
        <v>24</v>
      </c>
      <c r="E23" s="8" t="s">
        <v>25</v>
      </c>
      <c r="F23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23" t="s">
        <v>26</v>
      </c>
      <c r="H23" s="1">
        <v>150</v>
      </c>
      <c r="I23" s="1" t="s">
        <v>27</v>
      </c>
      <c r="J23" s="8">
        <v>3</v>
      </c>
      <c r="K23" s="6">
        <f>BKV_Eindbeelden[[#This Row],[Stabiliteitskluitdiameter (m)]]/2</f>
        <v>1.5</v>
      </c>
      <c r="L23" s="1">
        <v>12.5</v>
      </c>
      <c r="M23" s="1">
        <v>17.5</v>
      </c>
      <c r="N23" s="5">
        <f>IF(BKV_Eindbeelden[[#This Row],[Stabiliteitskluit Straal (m)]]&lt;0.75,0.75,BKV_Eindbeelden[[#This Row],[Stabiliteitskluit Straal (m)]])</f>
        <v>1.5</v>
      </c>
      <c r="O23" s="1" t="s">
        <v>46</v>
      </c>
      <c r="P23" s="1" t="s">
        <v>43</v>
      </c>
      <c r="Q23" s="1" t="s">
        <v>47</v>
      </c>
      <c r="R23" s="1" t="s">
        <v>48</v>
      </c>
      <c r="S23" s="1" t="str">
        <f>BKV_Eindbeelden[[#This Row],[Beoogde omloop]]&amp;"JR"</f>
        <v>20JR</v>
      </c>
      <c r="T23" s="1" t="s">
        <v>48</v>
      </c>
      <c r="U23" s="1" t="str">
        <f>UPPER(BKV_Eindbeelden[[#This Row],[Boomgrootte]])</f>
        <v>2E GROOTTE</v>
      </c>
      <c r="V23" s="1" t="s">
        <v>48</v>
      </c>
      <c r="W23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23" s="1" t="s">
        <v>48</v>
      </c>
      <c r="Y23" s="1" t="str">
        <f>IF(BKV_Eindbeelden[[#This Row],[Groeitype]]="Regulier Groeiend","REGULIER",IF(BKV_Eindbeelden[[#This Row],[Groeitype]]="Snelgroeiend","SNEL",""))</f>
        <v>SNEL</v>
      </c>
      <c r="Z23" s="1" t="str">
        <f>_xlfn.CONCAT(BKV_Eindbeelden[[#This Row],[Bibliotheeknaam]:[Naamdeel5]])</f>
        <v>SGR-BOOM_20JR_2E GROOTTE_NORMAAL_SNEL</v>
      </c>
    </row>
    <row r="24" spans="1:26" x14ac:dyDescent="0.25">
      <c r="A24" s="1" t="s">
        <v>38</v>
      </c>
      <c r="B24" s="1">
        <v>20</v>
      </c>
      <c r="C24" s="1" t="s">
        <v>11</v>
      </c>
      <c r="D24" s="1" t="s">
        <v>31</v>
      </c>
      <c r="E24" s="8" t="s">
        <v>41</v>
      </c>
      <c r="F24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2</v>
      </c>
      <c r="G24" t="s">
        <v>40</v>
      </c>
      <c r="H24" s="1">
        <v>20</v>
      </c>
      <c r="I24" s="1" t="s">
        <v>33</v>
      </c>
      <c r="J24" s="8">
        <v>2</v>
      </c>
      <c r="K24" s="6">
        <f>BKV_Eindbeelden[[#This Row],[Stabiliteitskluitdiameter (m)]]/2</f>
        <v>1</v>
      </c>
      <c r="L24" s="1">
        <v>3.5</v>
      </c>
      <c r="M24" s="1">
        <v>7.5</v>
      </c>
      <c r="N24" s="5">
        <f>IF(BKV_Eindbeelden[[#This Row],[Stabiliteitskluit Straal (m)]]&lt;0.75,0.75,BKV_Eindbeelden[[#This Row],[Stabiliteitskluit Straal (m)]])</f>
        <v>1</v>
      </c>
      <c r="O24" s="1" t="s">
        <v>46</v>
      </c>
      <c r="P24" s="1" t="s">
        <v>43</v>
      </c>
      <c r="Q24" s="1" t="s">
        <v>47</v>
      </c>
      <c r="R24" s="1" t="s">
        <v>48</v>
      </c>
      <c r="S24" s="1" t="str">
        <f>BKV_Eindbeelden[[#This Row],[Beoogde omloop]]&amp;"JR"</f>
        <v>20JR</v>
      </c>
      <c r="T24" s="1" t="s">
        <v>48</v>
      </c>
      <c r="U24" s="1" t="str">
        <f>UPPER(BKV_Eindbeelden[[#This Row],[Boomgrootte]])</f>
        <v>2E GROOTTE</v>
      </c>
      <c r="V24" s="1" t="s">
        <v>48</v>
      </c>
      <c r="W24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24" s="1" t="s">
        <v>48</v>
      </c>
      <c r="Y24" s="1" t="str">
        <f>IF(BKV_Eindbeelden[[#This Row],[Groeitype]]="Regulier Groeiend","REGULIER",IF(BKV_Eindbeelden[[#This Row],[Groeitype]]="Snelgroeiend","SNEL",""))</f>
        <v>REGULIER</v>
      </c>
      <c r="Z24" s="1" t="str">
        <f>_xlfn.CONCAT(BKV_Eindbeelden[[#This Row],[Bibliotheeknaam]:[Naamdeel5]])</f>
        <v>SGR-BOOM_20JR_2E GROOTTE_SMAL_REGULIER</v>
      </c>
    </row>
    <row r="25" spans="1:26" x14ac:dyDescent="0.25">
      <c r="A25" s="1" t="s">
        <v>38</v>
      </c>
      <c r="B25" s="1">
        <v>20</v>
      </c>
      <c r="C25" s="1" t="s">
        <v>16</v>
      </c>
      <c r="D25" s="1" t="s">
        <v>31</v>
      </c>
      <c r="E25" s="8" t="s">
        <v>32</v>
      </c>
      <c r="F25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2</v>
      </c>
      <c r="G25" t="s">
        <v>26</v>
      </c>
      <c r="H25" s="1">
        <v>40</v>
      </c>
      <c r="I25" s="1" t="s">
        <v>33</v>
      </c>
      <c r="J25" s="8">
        <v>2.5</v>
      </c>
      <c r="K25" s="6">
        <f>BKV_Eindbeelden[[#This Row],[Stabiliteitskluitdiameter (m)]]/2</f>
        <v>1.25</v>
      </c>
      <c r="L25" s="1">
        <v>5</v>
      </c>
      <c r="M25" s="1">
        <v>10</v>
      </c>
      <c r="N25" s="5">
        <f>IF(BKV_Eindbeelden[[#This Row],[Stabiliteitskluit Straal (m)]]&lt;0.75,0.75,BKV_Eindbeelden[[#This Row],[Stabiliteitskluit Straal (m)]])</f>
        <v>1.25</v>
      </c>
      <c r="O25" s="1" t="s">
        <v>46</v>
      </c>
      <c r="P25" s="1" t="s">
        <v>43</v>
      </c>
      <c r="Q25" s="1" t="s">
        <v>47</v>
      </c>
      <c r="R25" s="1" t="s">
        <v>48</v>
      </c>
      <c r="S25" s="1" t="str">
        <f>BKV_Eindbeelden[[#This Row],[Beoogde omloop]]&amp;"JR"</f>
        <v>20JR</v>
      </c>
      <c r="T25" s="1" t="s">
        <v>48</v>
      </c>
      <c r="U25" s="1" t="str">
        <f>UPPER(BKV_Eindbeelden[[#This Row],[Boomgrootte]])</f>
        <v>2E GROOTTE</v>
      </c>
      <c r="V25" s="1" t="s">
        <v>48</v>
      </c>
      <c r="W25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25" s="1" t="s">
        <v>48</v>
      </c>
      <c r="Y25" s="1" t="str">
        <f>IF(BKV_Eindbeelden[[#This Row],[Groeitype]]="Regulier Groeiend","REGULIER",IF(BKV_Eindbeelden[[#This Row],[Groeitype]]="Snelgroeiend","SNEL",""))</f>
        <v>SNEL</v>
      </c>
      <c r="Z25" s="1" t="str">
        <f>_xlfn.CONCAT(BKV_Eindbeelden[[#This Row],[Bibliotheeknaam]:[Naamdeel5]])</f>
        <v>SGR-BOOM_20JR_2E GROOTTE_SMAL_SNEL</v>
      </c>
    </row>
    <row r="26" spans="1:26" x14ac:dyDescent="0.25">
      <c r="A26" s="1" t="s">
        <v>42</v>
      </c>
      <c r="B26" s="1">
        <v>20</v>
      </c>
      <c r="C26" s="1" t="s">
        <v>11</v>
      </c>
      <c r="D26" s="1" t="s">
        <v>12</v>
      </c>
      <c r="E26" s="8" t="s">
        <v>34</v>
      </c>
      <c r="F26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26" t="s">
        <v>40</v>
      </c>
      <c r="H26" s="1">
        <v>75</v>
      </c>
      <c r="I26" s="1" t="s">
        <v>43</v>
      </c>
      <c r="J26" s="8">
        <v>2.5</v>
      </c>
      <c r="K26" s="6">
        <f>BKV_Eindbeelden[[#This Row],[Stabiliteitskluitdiameter (m)]]/2</f>
        <v>1.25</v>
      </c>
      <c r="L26" s="1">
        <v>7.5</v>
      </c>
      <c r="M26" s="1">
        <v>12.5</v>
      </c>
      <c r="N26" s="5">
        <f>IF(BKV_Eindbeelden[[#This Row],[Stabiliteitskluit Straal (m)]]&lt;0.75,0.75,BKV_Eindbeelden[[#This Row],[Stabiliteitskluit Straal (m)]])</f>
        <v>1.25</v>
      </c>
      <c r="O26" s="1" t="s">
        <v>46</v>
      </c>
      <c r="P26" s="1" t="s">
        <v>43</v>
      </c>
      <c r="Q26" s="1" t="s">
        <v>47</v>
      </c>
      <c r="R26" s="1" t="s">
        <v>48</v>
      </c>
      <c r="S26" s="1" t="str">
        <f>BKV_Eindbeelden[[#This Row],[Beoogde omloop]]&amp;"JR"</f>
        <v>20JR</v>
      </c>
      <c r="T26" s="1" t="s">
        <v>48</v>
      </c>
      <c r="U26" s="1" t="str">
        <f>UPPER(BKV_Eindbeelden[[#This Row],[Boomgrootte]])</f>
        <v>3E GROOTTE</v>
      </c>
      <c r="V26" s="1" t="s">
        <v>48</v>
      </c>
      <c r="W26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26" s="1" t="s">
        <v>48</v>
      </c>
      <c r="Y26" s="1" t="str">
        <f>IF(BKV_Eindbeelden[[#This Row],[Groeitype]]="Regulier Groeiend","REGULIER",IF(BKV_Eindbeelden[[#This Row],[Groeitype]]="Snelgroeiend","SNEL",""))</f>
        <v>REGULIER</v>
      </c>
      <c r="Z26" s="1" t="str">
        <f>_xlfn.CONCAT(BKV_Eindbeelden[[#This Row],[Bibliotheeknaam]:[Naamdeel5]])</f>
        <v>SGR-BOOM_20JR_3E GROOTTE_BREED_REGULIER</v>
      </c>
    </row>
    <row r="27" spans="1:26" x14ac:dyDescent="0.25">
      <c r="A27" s="1" t="s">
        <v>42</v>
      </c>
      <c r="B27" s="1">
        <v>20</v>
      </c>
      <c r="C27" s="1" t="s">
        <v>16</v>
      </c>
      <c r="D27" s="1" t="s">
        <v>12</v>
      </c>
      <c r="E27" s="8" t="s">
        <v>44</v>
      </c>
      <c r="F27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27" t="s">
        <v>26</v>
      </c>
      <c r="H27" s="1">
        <v>150</v>
      </c>
      <c r="I27" s="1" t="s">
        <v>27</v>
      </c>
      <c r="J27" s="8">
        <v>3</v>
      </c>
      <c r="K27" s="6">
        <f>BKV_Eindbeelden[[#This Row],[Stabiliteitskluitdiameter (m)]]/2</f>
        <v>1.5</v>
      </c>
      <c r="L27" s="1">
        <v>12.5</v>
      </c>
      <c r="M27" s="1">
        <v>17.5</v>
      </c>
      <c r="N27" s="5">
        <f>IF(BKV_Eindbeelden[[#This Row],[Stabiliteitskluit Straal (m)]]&lt;0.75,0.75,BKV_Eindbeelden[[#This Row],[Stabiliteitskluit Straal (m)]])</f>
        <v>1.5</v>
      </c>
      <c r="O27" s="1" t="s">
        <v>46</v>
      </c>
      <c r="P27" s="1" t="s">
        <v>43</v>
      </c>
      <c r="Q27" s="1" t="s">
        <v>47</v>
      </c>
      <c r="R27" s="1" t="s">
        <v>48</v>
      </c>
      <c r="S27" s="1" t="str">
        <f>BKV_Eindbeelden[[#This Row],[Beoogde omloop]]&amp;"JR"</f>
        <v>20JR</v>
      </c>
      <c r="T27" s="1" t="s">
        <v>48</v>
      </c>
      <c r="U27" s="1" t="str">
        <f>UPPER(BKV_Eindbeelden[[#This Row],[Boomgrootte]])</f>
        <v>3E GROOTTE</v>
      </c>
      <c r="V27" s="1" t="s">
        <v>48</v>
      </c>
      <c r="W27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27" s="1" t="s">
        <v>48</v>
      </c>
      <c r="Y27" s="1" t="str">
        <f>IF(BKV_Eindbeelden[[#This Row],[Groeitype]]="Regulier Groeiend","REGULIER",IF(BKV_Eindbeelden[[#This Row],[Groeitype]]="Snelgroeiend","SNEL",""))</f>
        <v>SNEL</v>
      </c>
      <c r="Z27" s="1" t="str">
        <f>_xlfn.CONCAT(BKV_Eindbeelden[[#This Row],[Bibliotheeknaam]:[Naamdeel5]])</f>
        <v>SGR-BOOM_20JR_3E GROOTTE_BREED_SNEL</v>
      </c>
    </row>
    <row r="28" spans="1:26" x14ac:dyDescent="0.25">
      <c r="A28" s="1" t="s">
        <v>42</v>
      </c>
      <c r="B28" s="1">
        <v>20</v>
      </c>
      <c r="C28" s="1" t="s">
        <v>11</v>
      </c>
      <c r="D28" s="1" t="s">
        <v>24</v>
      </c>
      <c r="E28" s="8" t="s">
        <v>32</v>
      </c>
      <c r="F28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2</v>
      </c>
      <c r="G28" t="s">
        <v>40</v>
      </c>
      <c r="H28" s="1">
        <v>20</v>
      </c>
      <c r="I28" s="1" t="s">
        <v>43</v>
      </c>
      <c r="J28" s="8">
        <v>2</v>
      </c>
      <c r="K28" s="6">
        <f>BKV_Eindbeelden[[#This Row],[Stabiliteitskluitdiameter (m)]]/2</f>
        <v>1</v>
      </c>
      <c r="L28" s="1">
        <v>3.5</v>
      </c>
      <c r="M28" s="1">
        <v>7.5</v>
      </c>
      <c r="N28" s="5">
        <f>IF(BKV_Eindbeelden[[#This Row],[Stabiliteitskluit Straal (m)]]&lt;0.75,0.75,BKV_Eindbeelden[[#This Row],[Stabiliteitskluit Straal (m)]])</f>
        <v>1</v>
      </c>
      <c r="O28" s="1" t="s">
        <v>46</v>
      </c>
      <c r="P28" s="1" t="s">
        <v>43</v>
      </c>
      <c r="Q28" s="1" t="s">
        <v>47</v>
      </c>
      <c r="R28" s="1" t="s">
        <v>48</v>
      </c>
      <c r="S28" s="1" t="str">
        <f>BKV_Eindbeelden[[#This Row],[Beoogde omloop]]&amp;"JR"</f>
        <v>20JR</v>
      </c>
      <c r="T28" s="1" t="s">
        <v>48</v>
      </c>
      <c r="U28" s="1" t="str">
        <f>UPPER(BKV_Eindbeelden[[#This Row],[Boomgrootte]])</f>
        <v>3E GROOTTE</v>
      </c>
      <c r="V28" s="1" t="s">
        <v>48</v>
      </c>
      <c r="W28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28" s="1" t="s">
        <v>48</v>
      </c>
      <c r="Y28" s="1" t="str">
        <f>IF(BKV_Eindbeelden[[#This Row],[Groeitype]]="Regulier Groeiend","REGULIER",IF(BKV_Eindbeelden[[#This Row],[Groeitype]]="Snelgroeiend","SNEL",""))</f>
        <v>REGULIER</v>
      </c>
      <c r="Z28" s="1" t="str">
        <f>_xlfn.CONCAT(BKV_Eindbeelden[[#This Row],[Bibliotheeknaam]:[Naamdeel5]])</f>
        <v>SGR-BOOM_20JR_3E GROOTTE_NORMAAL_REGULIER</v>
      </c>
    </row>
    <row r="29" spans="1:26" x14ac:dyDescent="0.25">
      <c r="A29" s="1" t="s">
        <v>42</v>
      </c>
      <c r="B29" s="1">
        <v>20</v>
      </c>
      <c r="C29" s="1" t="s">
        <v>16</v>
      </c>
      <c r="D29" s="1" t="s">
        <v>24</v>
      </c>
      <c r="E29" s="8" t="s">
        <v>34</v>
      </c>
      <c r="F29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29" t="s">
        <v>40</v>
      </c>
      <c r="H29" s="1">
        <v>75</v>
      </c>
      <c r="I29" s="1" t="s">
        <v>43</v>
      </c>
      <c r="J29" s="8">
        <v>2.5</v>
      </c>
      <c r="K29" s="6">
        <f>BKV_Eindbeelden[[#This Row],[Stabiliteitskluitdiameter (m)]]/2</f>
        <v>1.25</v>
      </c>
      <c r="L29" s="1">
        <v>7.5</v>
      </c>
      <c r="M29" s="1">
        <v>12.5</v>
      </c>
      <c r="N29" s="5">
        <f>IF(BKV_Eindbeelden[[#This Row],[Stabiliteitskluit Straal (m)]]&lt;0.75,0.75,BKV_Eindbeelden[[#This Row],[Stabiliteitskluit Straal (m)]])</f>
        <v>1.25</v>
      </c>
      <c r="O29" s="1" t="s">
        <v>46</v>
      </c>
      <c r="P29" s="1" t="s">
        <v>43</v>
      </c>
      <c r="Q29" s="1" t="s">
        <v>47</v>
      </c>
      <c r="R29" s="1" t="s">
        <v>48</v>
      </c>
      <c r="S29" s="1" t="str">
        <f>BKV_Eindbeelden[[#This Row],[Beoogde omloop]]&amp;"JR"</f>
        <v>20JR</v>
      </c>
      <c r="T29" s="1" t="s">
        <v>48</v>
      </c>
      <c r="U29" s="1" t="str">
        <f>UPPER(BKV_Eindbeelden[[#This Row],[Boomgrootte]])</f>
        <v>3E GROOTTE</v>
      </c>
      <c r="V29" s="1" t="s">
        <v>48</v>
      </c>
      <c r="W29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29" s="1" t="s">
        <v>48</v>
      </c>
      <c r="Y29" s="1" t="str">
        <f>IF(BKV_Eindbeelden[[#This Row],[Groeitype]]="Regulier Groeiend","REGULIER",IF(BKV_Eindbeelden[[#This Row],[Groeitype]]="Snelgroeiend","SNEL",""))</f>
        <v>SNEL</v>
      </c>
      <c r="Z29" s="1" t="str">
        <f>_xlfn.CONCAT(BKV_Eindbeelden[[#This Row],[Bibliotheeknaam]:[Naamdeel5]])</f>
        <v>SGR-BOOM_20JR_3E GROOTTE_NORMAAL_SNEL</v>
      </c>
    </row>
    <row r="30" spans="1:26" x14ac:dyDescent="0.25">
      <c r="A30" s="1" t="s">
        <v>42</v>
      </c>
      <c r="B30" s="1">
        <v>20</v>
      </c>
      <c r="C30" s="1" t="s">
        <v>11</v>
      </c>
      <c r="D30" s="1" t="s">
        <v>31</v>
      </c>
      <c r="E30" s="8" t="s">
        <v>45</v>
      </c>
      <c r="F30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1.5</v>
      </c>
      <c r="G30" t="s">
        <v>40</v>
      </c>
      <c r="H30" s="1">
        <v>12</v>
      </c>
      <c r="I30" s="1" t="s">
        <v>43</v>
      </c>
      <c r="J30" s="8">
        <v>2</v>
      </c>
      <c r="K30" s="6">
        <f>BKV_Eindbeelden[[#This Row],[Stabiliteitskluitdiameter (m)]]/2</f>
        <v>1</v>
      </c>
      <c r="L30" s="1">
        <v>2.5</v>
      </c>
      <c r="M30" s="1">
        <v>5</v>
      </c>
      <c r="N30" s="5">
        <f>IF(BKV_Eindbeelden[[#This Row],[Stabiliteitskluit Straal (m)]]&lt;0.75,0.75,BKV_Eindbeelden[[#This Row],[Stabiliteitskluit Straal (m)]])</f>
        <v>1</v>
      </c>
      <c r="O30" s="1" t="s">
        <v>46</v>
      </c>
      <c r="P30" s="1" t="s">
        <v>43</v>
      </c>
      <c r="Q30" s="1" t="s">
        <v>47</v>
      </c>
      <c r="R30" s="1" t="s">
        <v>48</v>
      </c>
      <c r="S30" s="1" t="str">
        <f>BKV_Eindbeelden[[#This Row],[Beoogde omloop]]&amp;"JR"</f>
        <v>20JR</v>
      </c>
      <c r="T30" s="1" t="s">
        <v>48</v>
      </c>
      <c r="U30" s="1" t="str">
        <f>UPPER(BKV_Eindbeelden[[#This Row],[Boomgrootte]])</f>
        <v>3E GROOTTE</v>
      </c>
      <c r="V30" s="1" t="s">
        <v>48</v>
      </c>
      <c r="W30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30" s="1" t="s">
        <v>48</v>
      </c>
      <c r="Y30" s="1" t="str">
        <f>IF(BKV_Eindbeelden[[#This Row],[Groeitype]]="Regulier Groeiend","REGULIER",IF(BKV_Eindbeelden[[#This Row],[Groeitype]]="Snelgroeiend","SNEL",""))</f>
        <v>REGULIER</v>
      </c>
      <c r="Z30" s="1" t="str">
        <f>_xlfn.CONCAT(BKV_Eindbeelden[[#This Row],[Bibliotheeknaam]:[Naamdeel5]])</f>
        <v>SGR-BOOM_20JR_3E GROOTTE_SMAL_REGULIER</v>
      </c>
    </row>
    <row r="31" spans="1:26" x14ac:dyDescent="0.25">
      <c r="A31" s="1" t="s">
        <v>42</v>
      </c>
      <c r="B31" s="1">
        <v>20</v>
      </c>
      <c r="C31" s="1" t="s">
        <v>16</v>
      </c>
      <c r="D31" s="1" t="s">
        <v>31</v>
      </c>
      <c r="E31" s="8" t="s">
        <v>32</v>
      </c>
      <c r="F31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2</v>
      </c>
      <c r="G31" t="s">
        <v>40</v>
      </c>
      <c r="H31" s="1">
        <v>20</v>
      </c>
      <c r="I31" s="1" t="s">
        <v>43</v>
      </c>
      <c r="J31" s="8">
        <v>2</v>
      </c>
      <c r="K31" s="6">
        <f>BKV_Eindbeelden[[#This Row],[Stabiliteitskluitdiameter (m)]]/2</f>
        <v>1</v>
      </c>
      <c r="L31" s="1">
        <v>3.5</v>
      </c>
      <c r="M31" s="1">
        <v>7.5</v>
      </c>
      <c r="N31" s="5">
        <f>IF(BKV_Eindbeelden[[#This Row],[Stabiliteitskluit Straal (m)]]&lt;0.75,0.75,BKV_Eindbeelden[[#This Row],[Stabiliteitskluit Straal (m)]])</f>
        <v>1</v>
      </c>
      <c r="O31" s="1" t="s">
        <v>46</v>
      </c>
      <c r="P31" s="1" t="s">
        <v>43</v>
      </c>
      <c r="Q31" s="1" t="s">
        <v>47</v>
      </c>
      <c r="R31" s="1" t="s">
        <v>48</v>
      </c>
      <c r="S31" s="1" t="str">
        <f>BKV_Eindbeelden[[#This Row],[Beoogde omloop]]&amp;"JR"</f>
        <v>20JR</v>
      </c>
      <c r="T31" s="1" t="s">
        <v>48</v>
      </c>
      <c r="U31" s="1" t="str">
        <f>UPPER(BKV_Eindbeelden[[#This Row],[Boomgrootte]])</f>
        <v>3E GROOTTE</v>
      </c>
      <c r="V31" s="1" t="s">
        <v>48</v>
      </c>
      <c r="W31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31" s="1" t="s">
        <v>48</v>
      </c>
      <c r="Y31" s="1" t="str">
        <f>IF(BKV_Eindbeelden[[#This Row],[Groeitype]]="Regulier Groeiend","REGULIER",IF(BKV_Eindbeelden[[#This Row],[Groeitype]]="Snelgroeiend","SNEL",""))</f>
        <v>SNEL</v>
      </c>
      <c r="Z31" s="1" t="str">
        <f>_xlfn.CONCAT(BKV_Eindbeelden[[#This Row],[Bibliotheeknaam]:[Naamdeel5]])</f>
        <v>SGR-BOOM_20JR_3E GROOTTE_SMAL_SNEL</v>
      </c>
    </row>
    <row r="32" spans="1:26" x14ac:dyDescent="0.25">
      <c r="A32" s="1" t="s">
        <v>64</v>
      </c>
      <c r="B32" s="1">
        <v>20</v>
      </c>
      <c r="C32" s="1" t="s">
        <v>11</v>
      </c>
      <c r="D32" s="1" t="s">
        <v>12</v>
      </c>
      <c r="E32" s="16" t="s">
        <v>65</v>
      </c>
      <c r="F32" s="12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2</v>
      </c>
      <c r="G32" t="s">
        <v>40</v>
      </c>
      <c r="H32" s="1">
        <v>20</v>
      </c>
      <c r="I32" s="1" t="s">
        <v>43</v>
      </c>
      <c r="J32" s="16">
        <v>2</v>
      </c>
      <c r="K32" s="13">
        <f>BKV_Eindbeelden[[#This Row],[Stabiliteitskluitdiameter (m)]]/2</f>
        <v>1</v>
      </c>
      <c r="L32" s="1">
        <v>3.5</v>
      </c>
      <c r="M32" s="1">
        <v>7.5</v>
      </c>
      <c r="N32" s="14">
        <f>IF(BKV_Eindbeelden[[#This Row],[Stabiliteitskluit Straal (m)]]&lt;0.75,0.75,BKV_Eindbeelden[[#This Row],[Stabiliteitskluit Straal (m)]])</f>
        <v>1</v>
      </c>
      <c r="O32" s="1" t="s">
        <v>46</v>
      </c>
      <c r="P32" s="1" t="s">
        <v>43</v>
      </c>
      <c r="Q32" s="1" t="s">
        <v>47</v>
      </c>
      <c r="R32" s="1" t="s">
        <v>48</v>
      </c>
      <c r="S32" s="1" t="str">
        <f>BKV_Eindbeelden[[#This Row],[Beoogde omloop]]&amp;"JR"</f>
        <v>20JR</v>
      </c>
      <c r="T32" s="1" t="s">
        <v>48</v>
      </c>
      <c r="U32" s="1" t="str">
        <f>UPPER(BKV_Eindbeelden[[#This Row],[Boomgrootte]])</f>
        <v>VORMBOOM</v>
      </c>
      <c r="V32" s="1" t="s">
        <v>48</v>
      </c>
      <c r="W32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32" s="1" t="s">
        <v>48</v>
      </c>
      <c r="Y32" s="1" t="str">
        <f>IF(BKV_Eindbeelden[[#This Row],[Groeitype]]="Regulier Groeiend","REGULIER",IF(BKV_Eindbeelden[[#This Row],[Groeitype]]="Snelgroeiend","SNEL",""))</f>
        <v>REGULIER</v>
      </c>
      <c r="Z32" s="1" t="str">
        <f>_xlfn.CONCAT(BKV_Eindbeelden[[#This Row],[Bibliotheeknaam]:[Naamdeel5]])</f>
        <v>SGR-BOOM_20JR_VORMBOOM_BREED_REGULIER</v>
      </c>
    </row>
    <row r="33" spans="1:26" x14ac:dyDescent="0.25">
      <c r="A33" s="1" t="s">
        <v>64</v>
      </c>
      <c r="B33" s="1">
        <v>20</v>
      </c>
      <c r="C33" s="1" t="s">
        <v>16</v>
      </c>
      <c r="D33" s="1" t="s">
        <v>12</v>
      </c>
      <c r="E33" s="16" t="s">
        <v>66</v>
      </c>
      <c r="F33" s="12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</v>
      </c>
      <c r="G33" t="s">
        <v>40</v>
      </c>
      <c r="H33" s="1">
        <v>50</v>
      </c>
      <c r="I33" s="1" t="s">
        <v>43</v>
      </c>
      <c r="J33" s="16">
        <v>2.5</v>
      </c>
      <c r="K33" s="13">
        <f>BKV_Eindbeelden[[#This Row],[Stabiliteitskluitdiameter (m)]]/2</f>
        <v>1.25</v>
      </c>
      <c r="L33" s="1">
        <v>5</v>
      </c>
      <c r="M33" s="1">
        <v>10</v>
      </c>
      <c r="N33" s="14">
        <f>IF(BKV_Eindbeelden[[#This Row],[Stabiliteitskluit Straal (m)]]&lt;0.75,0.75,BKV_Eindbeelden[[#This Row],[Stabiliteitskluit Straal (m)]])</f>
        <v>1.25</v>
      </c>
      <c r="O33" s="1" t="s">
        <v>46</v>
      </c>
      <c r="P33" s="1" t="s">
        <v>43</v>
      </c>
      <c r="Q33" s="1" t="s">
        <v>47</v>
      </c>
      <c r="R33" s="1" t="s">
        <v>48</v>
      </c>
      <c r="S33" s="1" t="str">
        <f>BKV_Eindbeelden[[#This Row],[Beoogde omloop]]&amp;"JR"</f>
        <v>20JR</v>
      </c>
      <c r="T33" s="1" t="s">
        <v>48</v>
      </c>
      <c r="U33" s="1" t="str">
        <f>UPPER(BKV_Eindbeelden[[#This Row],[Boomgrootte]])</f>
        <v>VORMBOOM</v>
      </c>
      <c r="V33" s="1" t="s">
        <v>48</v>
      </c>
      <c r="W33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33" s="1" t="s">
        <v>48</v>
      </c>
      <c r="Y33" s="1" t="str">
        <f>IF(BKV_Eindbeelden[[#This Row],[Groeitype]]="Regulier Groeiend","REGULIER",IF(BKV_Eindbeelden[[#This Row],[Groeitype]]="Snelgroeiend","SNEL",""))</f>
        <v>SNEL</v>
      </c>
      <c r="Z33" s="1" t="str">
        <f>_xlfn.CONCAT(BKV_Eindbeelden[[#This Row],[Bibliotheeknaam]:[Naamdeel5]])</f>
        <v>SGR-BOOM_20JR_VORMBOOM_BREED_SNEL</v>
      </c>
    </row>
    <row r="34" spans="1:26" x14ac:dyDescent="0.25">
      <c r="A34" s="1" t="s">
        <v>64</v>
      </c>
      <c r="B34" s="1">
        <v>20</v>
      </c>
      <c r="C34" s="1" t="s">
        <v>11</v>
      </c>
      <c r="D34" s="1" t="s">
        <v>24</v>
      </c>
      <c r="E34" s="8" t="s">
        <v>68</v>
      </c>
      <c r="F34" s="12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1.5</v>
      </c>
      <c r="G34" t="s">
        <v>40</v>
      </c>
      <c r="H34" s="1">
        <v>12</v>
      </c>
      <c r="I34" s="1" t="s">
        <v>43</v>
      </c>
      <c r="J34" s="8">
        <v>2</v>
      </c>
      <c r="K34" s="13">
        <f>BKV_Eindbeelden[[#This Row],[Stabiliteitskluitdiameter (m)]]/2</f>
        <v>1</v>
      </c>
      <c r="L34" s="1">
        <v>2.5</v>
      </c>
      <c r="M34" s="1">
        <v>5</v>
      </c>
      <c r="N34" s="14">
        <f>IF(BKV_Eindbeelden[[#This Row],[Stabiliteitskluit Straal (m)]]&lt;0.75,0.75,BKV_Eindbeelden[[#This Row],[Stabiliteitskluit Straal (m)]])</f>
        <v>1</v>
      </c>
      <c r="O34" s="1" t="s">
        <v>46</v>
      </c>
      <c r="P34" s="1" t="s">
        <v>43</v>
      </c>
      <c r="Q34" s="1" t="s">
        <v>47</v>
      </c>
      <c r="R34" s="1" t="s">
        <v>48</v>
      </c>
      <c r="S34" s="1" t="str">
        <f>BKV_Eindbeelden[[#This Row],[Beoogde omloop]]&amp;"JR"</f>
        <v>20JR</v>
      </c>
      <c r="T34" s="1" t="s">
        <v>48</v>
      </c>
      <c r="U34" s="1" t="str">
        <f>UPPER(BKV_Eindbeelden[[#This Row],[Boomgrootte]])</f>
        <v>VORMBOOM</v>
      </c>
      <c r="V34" s="1" t="s">
        <v>48</v>
      </c>
      <c r="W34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34" s="1" t="s">
        <v>48</v>
      </c>
      <c r="Y34" s="1" t="str">
        <f>IF(BKV_Eindbeelden[[#This Row],[Groeitype]]="Regulier Groeiend","REGULIER",IF(BKV_Eindbeelden[[#This Row],[Groeitype]]="Snelgroeiend","SNEL",""))</f>
        <v>REGULIER</v>
      </c>
      <c r="Z34" s="1" t="str">
        <f>_xlfn.CONCAT(BKV_Eindbeelden[[#This Row],[Bibliotheeknaam]:[Naamdeel5]])</f>
        <v>SGR-BOOM_20JR_VORMBOOM_NORMAAL_REGULIER</v>
      </c>
    </row>
    <row r="35" spans="1:26" x14ac:dyDescent="0.25">
      <c r="A35" s="1" t="s">
        <v>64</v>
      </c>
      <c r="B35" s="1">
        <v>20</v>
      </c>
      <c r="C35" s="1" t="s">
        <v>16</v>
      </c>
      <c r="D35" s="1" t="s">
        <v>24</v>
      </c>
      <c r="E35" s="8" t="s">
        <v>65</v>
      </c>
      <c r="F35" s="12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2</v>
      </c>
      <c r="G35" t="s">
        <v>40</v>
      </c>
      <c r="H35" s="1">
        <v>20</v>
      </c>
      <c r="I35" s="1" t="s">
        <v>43</v>
      </c>
      <c r="J35" s="8">
        <v>2</v>
      </c>
      <c r="K35" s="13">
        <f>BKV_Eindbeelden[[#This Row],[Stabiliteitskluitdiameter (m)]]/2</f>
        <v>1</v>
      </c>
      <c r="L35" s="1">
        <v>3.5</v>
      </c>
      <c r="M35" s="1">
        <v>7.5</v>
      </c>
      <c r="N35" s="14">
        <f>IF(BKV_Eindbeelden[[#This Row],[Stabiliteitskluit Straal (m)]]&lt;0.75,0.75,BKV_Eindbeelden[[#This Row],[Stabiliteitskluit Straal (m)]])</f>
        <v>1</v>
      </c>
      <c r="O35" s="1" t="s">
        <v>46</v>
      </c>
      <c r="P35" s="1" t="s">
        <v>43</v>
      </c>
      <c r="Q35" s="1" t="s">
        <v>47</v>
      </c>
      <c r="R35" s="1" t="s">
        <v>48</v>
      </c>
      <c r="S35" s="1" t="str">
        <f>BKV_Eindbeelden[[#This Row],[Beoogde omloop]]&amp;"JR"</f>
        <v>20JR</v>
      </c>
      <c r="T35" s="1" t="s">
        <v>48</v>
      </c>
      <c r="U35" s="1" t="str">
        <f>UPPER(BKV_Eindbeelden[[#This Row],[Boomgrootte]])</f>
        <v>VORMBOOM</v>
      </c>
      <c r="V35" s="1" t="s">
        <v>48</v>
      </c>
      <c r="W35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35" s="1" t="s">
        <v>48</v>
      </c>
      <c r="Y35" s="1" t="str">
        <f>IF(BKV_Eindbeelden[[#This Row],[Groeitype]]="Regulier Groeiend","REGULIER",IF(BKV_Eindbeelden[[#This Row],[Groeitype]]="Snelgroeiend","SNEL",""))</f>
        <v>SNEL</v>
      </c>
      <c r="Z35" s="1" t="str">
        <f>_xlfn.CONCAT(BKV_Eindbeelden[[#This Row],[Bibliotheeknaam]:[Naamdeel5]])</f>
        <v>SGR-BOOM_20JR_VORMBOOM_NORMAAL_SNEL</v>
      </c>
    </row>
    <row r="36" spans="1:26" x14ac:dyDescent="0.25">
      <c r="A36" s="1" t="s">
        <v>64</v>
      </c>
      <c r="B36" s="1">
        <v>20</v>
      </c>
      <c r="C36" s="1" t="s">
        <v>11</v>
      </c>
      <c r="D36" s="1" t="s">
        <v>31</v>
      </c>
      <c r="E36" s="8" t="s">
        <v>69</v>
      </c>
      <c r="F36" s="12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1</v>
      </c>
      <c r="G36" t="s">
        <v>40</v>
      </c>
      <c r="H36" s="1">
        <v>5</v>
      </c>
      <c r="I36" s="1" t="s">
        <v>43</v>
      </c>
      <c r="J36" s="8">
        <v>1.5</v>
      </c>
      <c r="K36" s="13">
        <f>BKV_Eindbeelden[[#This Row],[Stabiliteitskluitdiameter (m)]]/2</f>
        <v>0.75</v>
      </c>
      <c r="L36" s="1">
        <v>2</v>
      </c>
      <c r="M36" s="1">
        <v>4</v>
      </c>
      <c r="N36" s="14">
        <f>IF(BKV_Eindbeelden[[#This Row],[Stabiliteitskluit Straal (m)]]&lt;0.75,0.75,BKV_Eindbeelden[[#This Row],[Stabiliteitskluit Straal (m)]])</f>
        <v>0.75</v>
      </c>
      <c r="O36" s="1" t="s">
        <v>46</v>
      </c>
      <c r="P36" s="1" t="s">
        <v>43</v>
      </c>
      <c r="Q36" s="1" t="s">
        <v>47</v>
      </c>
      <c r="R36" s="1" t="s">
        <v>48</v>
      </c>
      <c r="S36" s="1" t="str">
        <f>BKV_Eindbeelden[[#This Row],[Beoogde omloop]]&amp;"JR"</f>
        <v>20JR</v>
      </c>
      <c r="T36" s="1" t="s">
        <v>48</v>
      </c>
      <c r="U36" s="1" t="str">
        <f>UPPER(BKV_Eindbeelden[[#This Row],[Boomgrootte]])</f>
        <v>VORMBOOM</v>
      </c>
      <c r="V36" s="1" t="s">
        <v>48</v>
      </c>
      <c r="W36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36" s="1" t="s">
        <v>48</v>
      </c>
      <c r="Y36" s="1" t="str">
        <f>IF(BKV_Eindbeelden[[#This Row],[Groeitype]]="Regulier Groeiend","REGULIER",IF(BKV_Eindbeelden[[#This Row],[Groeitype]]="Snelgroeiend","SNEL",""))</f>
        <v>REGULIER</v>
      </c>
      <c r="Z36" s="1" t="str">
        <f>_xlfn.CONCAT(BKV_Eindbeelden[[#This Row],[Bibliotheeknaam]:[Naamdeel5]])</f>
        <v>SGR-BOOM_20JR_VORMBOOM_SMAL_REGULIER</v>
      </c>
    </row>
    <row r="37" spans="1:26" x14ac:dyDescent="0.25">
      <c r="A37" s="1" t="s">
        <v>64</v>
      </c>
      <c r="B37" s="1">
        <v>20</v>
      </c>
      <c r="C37" s="1" t="s">
        <v>16</v>
      </c>
      <c r="D37" s="1" t="s">
        <v>31</v>
      </c>
      <c r="E37" s="8" t="s">
        <v>68</v>
      </c>
      <c r="F37" s="12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1.5</v>
      </c>
      <c r="G37" t="s">
        <v>40</v>
      </c>
      <c r="H37" s="1">
        <v>12</v>
      </c>
      <c r="I37" s="1" t="s">
        <v>43</v>
      </c>
      <c r="J37" s="8">
        <v>2</v>
      </c>
      <c r="K37" s="13">
        <f>BKV_Eindbeelden[[#This Row],[Stabiliteitskluitdiameter (m)]]/2</f>
        <v>1</v>
      </c>
      <c r="L37" s="1">
        <v>2.5</v>
      </c>
      <c r="M37" s="1">
        <v>5</v>
      </c>
      <c r="N37" s="14">
        <f>IF(BKV_Eindbeelden[[#This Row],[Stabiliteitskluit Straal (m)]]&lt;0.75,0.75,BKV_Eindbeelden[[#This Row],[Stabiliteitskluit Straal (m)]])</f>
        <v>1</v>
      </c>
      <c r="O37" s="1" t="s">
        <v>46</v>
      </c>
      <c r="P37" s="1" t="s">
        <v>43</v>
      </c>
      <c r="Q37" s="1" t="s">
        <v>47</v>
      </c>
      <c r="R37" s="1" t="s">
        <v>48</v>
      </c>
      <c r="S37" s="1" t="str">
        <f>BKV_Eindbeelden[[#This Row],[Beoogde omloop]]&amp;"JR"</f>
        <v>20JR</v>
      </c>
      <c r="T37" s="1" t="s">
        <v>48</v>
      </c>
      <c r="U37" s="1" t="str">
        <f>UPPER(BKV_Eindbeelden[[#This Row],[Boomgrootte]])</f>
        <v>VORMBOOM</v>
      </c>
      <c r="V37" s="1" t="s">
        <v>48</v>
      </c>
      <c r="W37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37" s="1" t="s">
        <v>48</v>
      </c>
      <c r="Y37" s="1" t="str">
        <f>IF(BKV_Eindbeelden[[#This Row],[Groeitype]]="Regulier Groeiend","REGULIER",IF(BKV_Eindbeelden[[#This Row],[Groeitype]]="Snelgroeiend","SNEL",""))</f>
        <v>SNEL</v>
      </c>
      <c r="Z37" s="1" t="str">
        <f>_xlfn.CONCAT(BKV_Eindbeelden[[#This Row],[Bibliotheeknaam]:[Naamdeel5]])</f>
        <v>SGR-BOOM_20JR_VORMBOOM_SMAL_SNEL</v>
      </c>
    </row>
    <row r="38" spans="1:26" x14ac:dyDescent="0.25">
      <c r="A38" s="1" t="s">
        <v>10</v>
      </c>
      <c r="B38" s="1">
        <v>30</v>
      </c>
      <c r="C38" s="1" t="s">
        <v>16</v>
      </c>
      <c r="D38" s="1" t="s">
        <v>12</v>
      </c>
      <c r="E38" s="8" t="s">
        <v>20</v>
      </c>
      <c r="F38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11.25</v>
      </c>
      <c r="G38" t="s">
        <v>18</v>
      </c>
      <c r="H38" s="1">
        <v>4000</v>
      </c>
      <c r="I38" s="1" t="s">
        <v>21</v>
      </c>
      <c r="J38" s="8">
        <v>5</v>
      </c>
      <c r="K38" s="6">
        <f>BKV_Eindbeelden[[#This Row],[Stabiliteitskluitdiameter (m)]]/2</f>
        <v>2.5</v>
      </c>
      <c r="L38" s="1">
        <v>40</v>
      </c>
      <c r="M38" s="1">
        <v>60</v>
      </c>
      <c r="N38" s="5">
        <f>IF(BKV_Eindbeelden[[#This Row],[Stabiliteitskluit Straal (m)]]&lt;0.75,0.75,BKV_Eindbeelden[[#This Row],[Stabiliteitskluit Straal (m)]])</f>
        <v>2.5</v>
      </c>
      <c r="O38" s="1" t="s">
        <v>46</v>
      </c>
      <c r="P38" s="1" t="s">
        <v>43</v>
      </c>
      <c r="Q38" s="1" t="s">
        <v>47</v>
      </c>
      <c r="R38" s="1" t="s">
        <v>48</v>
      </c>
      <c r="S38" s="1" t="str">
        <f>BKV_Eindbeelden[[#This Row],[Beoogde omloop]]&amp;"JR"</f>
        <v>30JR</v>
      </c>
      <c r="T38" s="1" t="s">
        <v>48</v>
      </c>
      <c r="U38" s="1" t="str">
        <f>UPPER(BKV_Eindbeelden[[#This Row],[Boomgrootte]])</f>
        <v>1E GROOTTE</v>
      </c>
      <c r="V38" s="1" t="s">
        <v>48</v>
      </c>
      <c r="W38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38" s="1" t="s">
        <v>48</v>
      </c>
      <c r="Y38" s="1" t="str">
        <f>IF(BKV_Eindbeelden[[#This Row],[Groeitype]]="Regulier Groeiend","REGULIER",IF(BKV_Eindbeelden[[#This Row],[Groeitype]]="Snelgroeiend","SNEL",""))</f>
        <v>SNEL</v>
      </c>
      <c r="Z38" s="1" t="str">
        <f>_xlfn.CONCAT(BKV_Eindbeelden[[#This Row],[Bibliotheeknaam]:[Naamdeel5]])</f>
        <v>SGR-BOOM_30JR_1E GROOTTE_BREED_SNEL</v>
      </c>
    </row>
    <row r="39" spans="1:26" x14ac:dyDescent="0.25">
      <c r="A39" s="1" t="s">
        <v>10</v>
      </c>
      <c r="B39" s="1">
        <v>30</v>
      </c>
      <c r="C39" s="1" t="s">
        <v>16</v>
      </c>
      <c r="D39" s="1" t="s">
        <v>24</v>
      </c>
      <c r="E39" s="8" t="s">
        <v>17</v>
      </c>
      <c r="F39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8.75</v>
      </c>
      <c r="G39" t="s">
        <v>18</v>
      </c>
      <c r="H39" s="1">
        <v>2400</v>
      </c>
      <c r="I39" s="1" t="s">
        <v>19</v>
      </c>
      <c r="J39" s="8">
        <v>4.5</v>
      </c>
      <c r="K39" s="6">
        <f>BKV_Eindbeelden[[#This Row],[Stabiliteitskluitdiameter (m)]]/2</f>
        <v>2.25</v>
      </c>
      <c r="L39" s="1">
        <v>30</v>
      </c>
      <c r="M39" s="1">
        <v>50</v>
      </c>
      <c r="N39" s="5">
        <f>IF(BKV_Eindbeelden[[#This Row],[Stabiliteitskluit Straal (m)]]&lt;0.75,0.75,BKV_Eindbeelden[[#This Row],[Stabiliteitskluit Straal (m)]])</f>
        <v>2.25</v>
      </c>
      <c r="O39" s="1" t="s">
        <v>46</v>
      </c>
      <c r="P39" s="1" t="s">
        <v>43</v>
      </c>
      <c r="Q39" s="1" t="s">
        <v>47</v>
      </c>
      <c r="R39" s="1" t="s">
        <v>48</v>
      </c>
      <c r="S39" s="1" t="str">
        <f>BKV_Eindbeelden[[#This Row],[Beoogde omloop]]&amp;"JR"</f>
        <v>30JR</v>
      </c>
      <c r="T39" s="1" t="s">
        <v>48</v>
      </c>
      <c r="U39" s="1" t="str">
        <f>UPPER(BKV_Eindbeelden[[#This Row],[Boomgrootte]])</f>
        <v>1E GROOTTE</v>
      </c>
      <c r="V39" s="1" t="s">
        <v>48</v>
      </c>
      <c r="W39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39" s="1" t="s">
        <v>48</v>
      </c>
      <c r="Y39" s="1" t="str">
        <f>IF(BKV_Eindbeelden[[#This Row],[Groeitype]]="Regulier Groeiend","REGULIER",IF(BKV_Eindbeelden[[#This Row],[Groeitype]]="Snelgroeiend","SNEL",""))</f>
        <v>SNEL</v>
      </c>
      <c r="Z39" s="1" t="str">
        <f>_xlfn.CONCAT(BKV_Eindbeelden[[#This Row],[Bibliotheeknaam]:[Naamdeel5]])</f>
        <v>SGR-BOOM_30JR_1E GROOTTE_NORMAAL_SNEL</v>
      </c>
    </row>
    <row r="40" spans="1:26" x14ac:dyDescent="0.25">
      <c r="A40" s="1" t="s">
        <v>10</v>
      </c>
      <c r="B40" s="1">
        <v>30</v>
      </c>
      <c r="C40" s="1" t="s">
        <v>16</v>
      </c>
      <c r="D40" s="1" t="s">
        <v>31</v>
      </c>
      <c r="E40" s="8" t="s">
        <v>36</v>
      </c>
      <c r="F40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40" t="s">
        <v>18</v>
      </c>
      <c r="H40" s="1">
        <v>450</v>
      </c>
      <c r="I40" s="1" t="s">
        <v>35</v>
      </c>
      <c r="J40" s="8">
        <v>3.5</v>
      </c>
      <c r="K40" s="6">
        <f>BKV_Eindbeelden[[#This Row],[Stabiliteitskluitdiameter (m)]]/2</f>
        <v>1.75</v>
      </c>
      <c r="L40" s="1">
        <v>17.5</v>
      </c>
      <c r="M40" s="1">
        <v>25</v>
      </c>
      <c r="N40" s="5">
        <f>IF(BKV_Eindbeelden[[#This Row],[Stabiliteitskluit Straal (m)]]&lt;0.75,0.75,BKV_Eindbeelden[[#This Row],[Stabiliteitskluit Straal (m)]])</f>
        <v>1.75</v>
      </c>
      <c r="O40" s="1" t="s">
        <v>46</v>
      </c>
      <c r="P40" s="1" t="s">
        <v>43</v>
      </c>
      <c r="Q40" s="1" t="s">
        <v>47</v>
      </c>
      <c r="R40" s="1" t="s">
        <v>48</v>
      </c>
      <c r="S40" s="1" t="str">
        <f>BKV_Eindbeelden[[#This Row],[Beoogde omloop]]&amp;"JR"</f>
        <v>30JR</v>
      </c>
      <c r="T40" s="1" t="s">
        <v>48</v>
      </c>
      <c r="U40" s="1" t="str">
        <f>UPPER(BKV_Eindbeelden[[#This Row],[Boomgrootte]])</f>
        <v>1E GROOTTE</v>
      </c>
      <c r="V40" s="1" t="s">
        <v>48</v>
      </c>
      <c r="W40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40" s="1" t="s">
        <v>48</v>
      </c>
      <c r="Y40" s="1" t="str">
        <f>IF(BKV_Eindbeelden[[#This Row],[Groeitype]]="Regulier Groeiend","REGULIER",IF(BKV_Eindbeelden[[#This Row],[Groeitype]]="Snelgroeiend","SNEL",""))</f>
        <v>SNEL</v>
      </c>
      <c r="Z40" s="1" t="str">
        <f>_xlfn.CONCAT(BKV_Eindbeelden[[#This Row],[Bibliotheeknaam]:[Naamdeel5]])</f>
        <v>SGR-BOOM_30JR_1E GROOTTE_SMAL_SNEL</v>
      </c>
    </row>
    <row r="41" spans="1:26" x14ac:dyDescent="0.25">
      <c r="A41" s="1" t="s">
        <v>38</v>
      </c>
      <c r="B41" s="1">
        <v>30</v>
      </c>
      <c r="C41" s="1" t="s">
        <v>16</v>
      </c>
      <c r="D41" s="1" t="s">
        <v>12</v>
      </c>
      <c r="E41" s="8" t="s">
        <v>17</v>
      </c>
      <c r="F41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8.75</v>
      </c>
      <c r="G41" t="s">
        <v>26</v>
      </c>
      <c r="H41" s="1">
        <v>800</v>
      </c>
      <c r="I41" s="1" t="s">
        <v>15</v>
      </c>
      <c r="J41" s="8">
        <v>4</v>
      </c>
      <c r="K41" s="6">
        <f>BKV_Eindbeelden[[#This Row],[Stabiliteitskluitdiameter (m)]]/2</f>
        <v>2</v>
      </c>
      <c r="L41" s="1">
        <v>20</v>
      </c>
      <c r="M41" s="1">
        <v>30</v>
      </c>
      <c r="N41" s="5">
        <f>IF(BKV_Eindbeelden[[#This Row],[Stabiliteitskluit Straal (m)]]&lt;0.75,0.75,BKV_Eindbeelden[[#This Row],[Stabiliteitskluit Straal (m)]])</f>
        <v>2</v>
      </c>
      <c r="O41" s="1" t="s">
        <v>46</v>
      </c>
      <c r="P41" s="1" t="s">
        <v>43</v>
      </c>
      <c r="Q41" s="1" t="s">
        <v>47</v>
      </c>
      <c r="R41" s="1" t="s">
        <v>48</v>
      </c>
      <c r="S41" s="1" t="str">
        <f>BKV_Eindbeelden[[#This Row],[Beoogde omloop]]&amp;"JR"</f>
        <v>30JR</v>
      </c>
      <c r="T41" s="1" t="s">
        <v>48</v>
      </c>
      <c r="U41" s="1" t="str">
        <f>UPPER(BKV_Eindbeelden[[#This Row],[Boomgrootte]])</f>
        <v>2E GROOTTE</v>
      </c>
      <c r="V41" s="1" t="s">
        <v>48</v>
      </c>
      <c r="W41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41" s="1" t="s">
        <v>48</v>
      </c>
      <c r="Y41" s="1" t="str">
        <f>IF(BKV_Eindbeelden[[#This Row],[Groeitype]]="Regulier Groeiend","REGULIER",IF(BKV_Eindbeelden[[#This Row],[Groeitype]]="Snelgroeiend","SNEL",""))</f>
        <v>SNEL</v>
      </c>
      <c r="Z41" s="1" t="str">
        <f>_xlfn.CONCAT(BKV_Eindbeelden[[#This Row],[Bibliotheeknaam]:[Naamdeel5]])</f>
        <v>SGR-BOOM_30JR_2E GROOTTE_BREED_SNEL</v>
      </c>
    </row>
    <row r="42" spans="1:26" x14ac:dyDescent="0.25">
      <c r="A42" s="1" t="s">
        <v>38</v>
      </c>
      <c r="B42" s="1">
        <v>30</v>
      </c>
      <c r="C42" s="1" t="s">
        <v>16</v>
      </c>
      <c r="D42" s="1" t="s">
        <v>24</v>
      </c>
      <c r="E42" s="8" t="s">
        <v>13</v>
      </c>
      <c r="F42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6.25</v>
      </c>
      <c r="G42" t="s">
        <v>26</v>
      </c>
      <c r="H42" s="1">
        <v>415</v>
      </c>
      <c r="I42" s="1" t="s">
        <v>35</v>
      </c>
      <c r="J42" s="8">
        <v>3.5</v>
      </c>
      <c r="K42" s="6">
        <f>BKV_Eindbeelden[[#This Row],[Stabiliteitskluitdiameter (m)]]/2</f>
        <v>1.75</v>
      </c>
      <c r="L42" s="1">
        <v>17.5</v>
      </c>
      <c r="M42" s="1">
        <v>25</v>
      </c>
      <c r="N42" s="5">
        <f>IF(BKV_Eindbeelden[[#This Row],[Stabiliteitskluit Straal (m)]]&lt;0.75,0.75,BKV_Eindbeelden[[#This Row],[Stabiliteitskluit Straal (m)]])</f>
        <v>1.75</v>
      </c>
      <c r="O42" s="1" t="s">
        <v>46</v>
      </c>
      <c r="P42" s="1" t="s">
        <v>43</v>
      </c>
      <c r="Q42" s="1" t="s">
        <v>47</v>
      </c>
      <c r="R42" s="1" t="s">
        <v>48</v>
      </c>
      <c r="S42" s="1" t="str">
        <f>BKV_Eindbeelden[[#This Row],[Beoogde omloop]]&amp;"JR"</f>
        <v>30JR</v>
      </c>
      <c r="T42" s="1" t="s">
        <v>48</v>
      </c>
      <c r="U42" s="1" t="str">
        <f>UPPER(BKV_Eindbeelden[[#This Row],[Boomgrootte]])</f>
        <v>2E GROOTTE</v>
      </c>
      <c r="V42" s="1" t="s">
        <v>48</v>
      </c>
      <c r="W42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42" s="1" t="s">
        <v>48</v>
      </c>
      <c r="Y42" s="1" t="str">
        <f>IF(BKV_Eindbeelden[[#This Row],[Groeitype]]="Regulier Groeiend","REGULIER",IF(BKV_Eindbeelden[[#This Row],[Groeitype]]="Snelgroeiend","SNEL",""))</f>
        <v>SNEL</v>
      </c>
      <c r="Z42" s="1" t="str">
        <f>_xlfn.CONCAT(BKV_Eindbeelden[[#This Row],[Bibliotheeknaam]:[Naamdeel5]])</f>
        <v>SGR-BOOM_30JR_2E GROOTTE_NORMAAL_SNEL</v>
      </c>
    </row>
    <row r="43" spans="1:26" x14ac:dyDescent="0.25">
      <c r="A43" s="1" t="s">
        <v>38</v>
      </c>
      <c r="B43" s="1">
        <v>30</v>
      </c>
      <c r="C43" s="1" t="s">
        <v>16</v>
      </c>
      <c r="D43" s="1" t="s">
        <v>31</v>
      </c>
      <c r="E43" s="8" t="s">
        <v>34</v>
      </c>
      <c r="F43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43" t="s">
        <v>26</v>
      </c>
      <c r="H43" s="1">
        <v>150</v>
      </c>
      <c r="I43" s="1" t="s">
        <v>27</v>
      </c>
      <c r="J43" s="8">
        <v>3</v>
      </c>
      <c r="K43" s="6">
        <f>BKV_Eindbeelden[[#This Row],[Stabiliteitskluitdiameter (m)]]/2</f>
        <v>1.5</v>
      </c>
      <c r="L43" s="1">
        <v>12.5</v>
      </c>
      <c r="M43" s="1">
        <v>17.5</v>
      </c>
      <c r="N43" s="5">
        <f>IF(BKV_Eindbeelden[[#This Row],[Stabiliteitskluit Straal (m)]]&lt;0.75,0.75,BKV_Eindbeelden[[#This Row],[Stabiliteitskluit Straal (m)]])</f>
        <v>1.5</v>
      </c>
      <c r="O43" s="1" t="s">
        <v>46</v>
      </c>
      <c r="P43" s="1" t="s">
        <v>43</v>
      </c>
      <c r="Q43" s="1" t="s">
        <v>47</v>
      </c>
      <c r="R43" s="1" t="s">
        <v>48</v>
      </c>
      <c r="S43" s="1" t="str">
        <f>BKV_Eindbeelden[[#This Row],[Beoogde omloop]]&amp;"JR"</f>
        <v>30JR</v>
      </c>
      <c r="T43" s="1" t="s">
        <v>48</v>
      </c>
      <c r="U43" s="1" t="str">
        <f>UPPER(BKV_Eindbeelden[[#This Row],[Boomgrootte]])</f>
        <v>2E GROOTTE</v>
      </c>
      <c r="V43" s="1" t="s">
        <v>48</v>
      </c>
      <c r="W43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43" s="1" t="s">
        <v>48</v>
      </c>
      <c r="Y43" s="1" t="str">
        <f>IF(BKV_Eindbeelden[[#This Row],[Groeitype]]="Regulier Groeiend","REGULIER",IF(BKV_Eindbeelden[[#This Row],[Groeitype]]="Snelgroeiend","SNEL",""))</f>
        <v>SNEL</v>
      </c>
      <c r="Z43" s="1" t="str">
        <f>_xlfn.CONCAT(BKV_Eindbeelden[[#This Row],[Bibliotheeknaam]:[Naamdeel5]])</f>
        <v>SGR-BOOM_30JR_2E GROOTTE_SMAL_SNEL</v>
      </c>
    </row>
    <row r="44" spans="1:26" x14ac:dyDescent="0.25">
      <c r="A44" s="1" t="s">
        <v>42</v>
      </c>
      <c r="B44" s="1">
        <v>30</v>
      </c>
      <c r="C44" s="1" t="s">
        <v>16</v>
      </c>
      <c r="D44" s="1" t="s">
        <v>12</v>
      </c>
      <c r="E44" s="8" t="s">
        <v>28</v>
      </c>
      <c r="F44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6.25</v>
      </c>
      <c r="G44" t="s">
        <v>26</v>
      </c>
      <c r="H44" s="1">
        <v>415</v>
      </c>
      <c r="I44" s="1" t="s">
        <v>35</v>
      </c>
      <c r="J44" s="8">
        <v>3.5</v>
      </c>
      <c r="K44" s="6">
        <f>BKV_Eindbeelden[[#This Row],[Stabiliteitskluitdiameter (m)]]/2</f>
        <v>1.75</v>
      </c>
      <c r="L44" s="1">
        <v>17.5</v>
      </c>
      <c r="M44" s="1">
        <v>25</v>
      </c>
      <c r="N44" s="5">
        <f>IF(BKV_Eindbeelden[[#This Row],[Stabiliteitskluit Straal (m)]]&lt;0.75,0.75,BKV_Eindbeelden[[#This Row],[Stabiliteitskluit Straal (m)]])</f>
        <v>1.75</v>
      </c>
      <c r="O44" s="1" t="s">
        <v>46</v>
      </c>
      <c r="P44" s="1" t="s">
        <v>43</v>
      </c>
      <c r="Q44" s="1" t="s">
        <v>47</v>
      </c>
      <c r="R44" s="1" t="s">
        <v>48</v>
      </c>
      <c r="S44" s="1" t="str">
        <f>BKV_Eindbeelden[[#This Row],[Beoogde omloop]]&amp;"JR"</f>
        <v>30JR</v>
      </c>
      <c r="T44" s="1" t="s">
        <v>48</v>
      </c>
      <c r="U44" s="1" t="str">
        <f>UPPER(BKV_Eindbeelden[[#This Row],[Boomgrootte]])</f>
        <v>3E GROOTTE</v>
      </c>
      <c r="V44" s="1" t="s">
        <v>48</v>
      </c>
      <c r="W44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44" s="1" t="s">
        <v>48</v>
      </c>
      <c r="Y44" s="1" t="str">
        <f>IF(BKV_Eindbeelden[[#This Row],[Groeitype]]="Regulier Groeiend","REGULIER",IF(BKV_Eindbeelden[[#This Row],[Groeitype]]="Snelgroeiend","SNEL",""))</f>
        <v>SNEL</v>
      </c>
      <c r="Z44" s="1" t="str">
        <f>_xlfn.CONCAT(BKV_Eindbeelden[[#This Row],[Bibliotheeknaam]:[Naamdeel5]])</f>
        <v>SGR-BOOM_30JR_3E GROOTTE_BREED_SNEL</v>
      </c>
    </row>
    <row r="45" spans="1:26" x14ac:dyDescent="0.25">
      <c r="A45" s="1" t="s">
        <v>42</v>
      </c>
      <c r="B45" s="1">
        <v>30</v>
      </c>
      <c r="C45" s="1" t="s">
        <v>16</v>
      </c>
      <c r="D45" s="1" t="s">
        <v>24</v>
      </c>
      <c r="E45" s="8" t="s">
        <v>25</v>
      </c>
      <c r="F45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45" t="s">
        <v>26</v>
      </c>
      <c r="H45" s="1">
        <v>150</v>
      </c>
      <c r="I45" s="1" t="s">
        <v>27</v>
      </c>
      <c r="J45" s="8">
        <v>3</v>
      </c>
      <c r="K45" s="6">
        <f>BKV_Eindbeelden[[#This Row],[Stabiliteitskluitdiameter (m)]]/2</f>
        <v>1.5</v>
      </c>
      <c r="L45" s="1">
        <v>12.5</v>
      </c>
      <c r="M45" s="1">
        <v>17.5</v>
      </c>
      <c r="N45" s="5">
        <f>IF(BKV_Eindbeelden[[#This Row],[Stabiliteitskluit Straal (m)]]&lt;0.75,0.75,BKV_Eindbeelden[[#This Row],[Stabiliteitskluit Straal (m)]])</f>
        <v>1.5</v>
      </c>
      <c r="O45" s="1" t="s">
        <v>46</v>
      </c>
      <c r="P45" s="1" t="s">
        <v>43</v>
      </c>
      <c r="Q45" s="1" t="s">
        <v>47</v>
      </c>
      <c r="R45" s="1" t="s">
        <v>48</v>
      </c>
      <c r="S45" s="1" t="str">
        <f>BKV_Eindbeelden[[#This Row],[Beoogde omloop]]&amp;"JR"</f>
        <v>30JR</v>
      </c>
      <c r="T45" s="1" t="s">
        <v>48</v>
      </c>
      <c r="U45" s="1" t="str">
        <f>UPPER(BKV_Eindbeelden[[#This Row],[Boomgrootte]])</f>
        <v>3E GROOTTE</v>
      </c>
      <c r="V45" s="1" t="s">
        <v>48</v>
      </c>
      <c r="W45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45" s="1" t="s">
        <v>48</v>
      </c>
      <c r="Y45" s="1" t="str">
        <f>IF(BKV_Eindbeelden[[#This Row],[Groeitype]]="Regulier Groeiend","REGULIER",IF(BKV_Eindbeelden[[#This Row],[Groeitype]]="Snelgroeiend","SNEL",""))</f>
        <v>SNEL</v>
      </c>
      <c r="Z45" s="1" t="str">
        <f>_xlfn.CONCAT(BKV_Eindbeelden[[#This Row],[Bibliotheeknaam]:[Naamdeel5]])</f>
        <v>SGR-BOOM_30JR_3E GROOTTE_NORMAAL_SNEL</v>
      </c>
    </row>
    <row r="46" spans="1:26" x14ac:dyDescent="0.25">
      <c r="A46" s="1" t="s">
        <v>42</v>
      </c>
      <c r="B46" s="1">
        <v>30</v>
      </c>
      <c r="C46" s="1" t="s">
        <v>16</v>
      </c>
      <c r="D46" s="1" t="s">
        <v>31</v>
      </c>
      <c r="E46" s="8" t="s">
        <v>39</v>
      </c>
      <c r="F46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46" t="s">
        <v>40</v>
      </c>
      <c r="H46" s="1">
        <v>75</v>
      </c>
      <c r="I46" s="1" t="s">
        <v>43</v>
      </c>
      <c r="J46" s="8">
        <v>2.5</v>
      </c>
      <c r="K46" s="6">
        <f>BKV_Eindbeelden[[#This Row],[Stabiliteitskluitdiameter (m)]]/2</f>
        <v>1.25</v>
      </c>
      <c r="L46" s="1">
        <v>7.5</v>
      </c>
      <c r="M46" s="1">
        <v>12.5</v>
      </c>
      <c r="N46" s="5">
        <f>IF(BKV_Eindbeelden[[#This Row],[Stabiliteitskluit Straal (m)]]&lt;0.75,0.75,BKV_Eindbeelden[[#This Row],[Stabiliteitskluit Straal (m)]])</f>
        <v>1.25</v>
      </c>
      <c r="O46" s="1" t="s">
        <v>46</v>
      </c>
      <c r="P46" s="1" t="s">
        <v>43</v>
      </c>
      <c r="Q46" s="1" t="s">
        <v>47</v>
      </c>
      <c r="R46" s="1" t="s">
        <v>48</v>
      </c>
      <c r="S46" s="1" t="str">
        <f>BKV_Eindbeelden[[#This Row],[Beoogde omloop]]&amp;"JR"</f>
        <v>30JR</v>
      </c>
      <c r="T46" s="1" t="s">
        <v>48</v>
      </c>
      <c r="U46" s="1" t="str">
        <f>UPPER(BKV_Eindbeelden[[#This Row],[Boomgrootte]])</f>
        <v>3E GROOTTE</v>
      </c>
      <c r="V46" s="1" t="s">
        <v>48</v>
      </c>
      <c r="W46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46" s="1" t="s">
        <v>48</v>
      </c>
      <c r="Y46" s="1" t="str">
        <f>IF(BKV_Eindbeelden[[#This Row],[Groeitype]]="Regulier Groeiend","REGULIER",IF(BKV_Eindbeelden[[#This Row],[Groeitype]]="Snelgroeiend","SNEL",""))</f>
        <v>SNEL</v>
      </c>
      <c r="Z46" s="1" t="str">
        <f>_xlfn.CONCAT(BKV_Eindbeelden[[#This Row],[Bibliotheeknaam]:[Naamdeel5]])</f>
        <v>SGR-BOOM_30JR_3E GROOTTE_SMAL_SNEL</v>
      </c>
    </row>
    <row r="47" spans="1:26" x14ac:dyDescent="0.25">
      <c r="A47" s="1" t="s">
        <v>64</v>
      </c>
      <c r="B47" s="1">
        <v>30</v>
      </c>
      <c r="C47" s="1" t="s">
        <v>16</v>
      </c>
      <c r="D47" s="1" t="s">
        <v>12</v>
      </c>
      <c r="E47" s="16" t="s">
        <v>66</v>
      </c>
      <c r="F47" s="12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</v>
      </c>
      <c r="G47" t="s">
        <v>40</v>
      </c>
      <c r="H47" s="1">
        <v>50</v>
      </c>
      <c r="I47" s="1" t="s">
        <v>43</v>
      </c>
      <c r="J47" s="16">
        <v>2.5</v>
      </c>
      <c r="K47" s="13">
        <f>BKV_Eindbeelden[[#This Row],[Stabiliteitskluitdiameter (m)]]/2</f>
        <v>1.25</v>
      </c>
      <c r="L47" s="1">
        <v>5</v>
      </c>
      <c r="M47" s="1">
        <v>10</v>
      </c>
      <c r="N47" s="14">
        <f>IF(BKV_Eindbeelden[[#This Row],[Stabiliteitskluit Straal (m)]]&lt;0.75,0.75,BKV_Eindbeelden[[#This Row],[Stabiliteitskluit Straal (m)]])</f>
        <v>1.25</v>
      </c>
      <c r="O47" s="1" t="s">
        <v>46</v>
      </c>
      <c r="P47" s="1" t="s">
        <v>43</v>
      </c>
      <c r="Q47" s="1" t="s">
        <v>47</v>
      </c>
      <c r="R47" s="1" t="s">
        <v>48</v>
      </c>
      <c r="S47" s="1" t="str">
        <f>BKV_Eindbeelden[[#This Row],[Beoogde omloop]]&amp;"JR"</f>
        <v>30JR</v>
      </c>
      <c r="T47" s="1" t="s">
        <v>48</v>
      </c>
      <c r="U47" s="1" t="str">
        <f>UPPER(BKV_Eindbeelden[[#This Row],[Boomgrootte]])</f>
        <v>VORMBOOM</v>
      </c>
      <c r="V47" s="1" t="s">
        <v>48</v>
      </c>
      <c r="W47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47" s="1" t="s">
        <v>48</v>
      </c>
      <c r="Y47" s="1" t="str">
        <f>IF(BKV_Eindbeelden[[#This Row],[Groeitype]]="Regulier Groeiend","REGULIER",IF(BKV_Eindbeelden[[#This Row],[Groeitype]]="Snelgroeiend","SNEL",""))</f>
        <v>SNEL</v>
      </c>
      <c r="Z47" s="1" t="str">
        <f>_xlfn.CONCAT(BKV_Eindbeelden[[#This Row],[Bibliotheeknaam]:[Naamdeel5]])</f>
        <v>SGR-BOOM_30JR_VORMBOOM_BREED_SNEL</v>
      </c>
    </row>
    <row r="48" spans="1:26" x14ac:dyDescent="0.25">
      <c r="A48" s="1" t="s">
        <v>64</v>
      </c>
      <c r="B48" s="1">
        <v>30</v>
      </c>
      <c r="C48" s="1" t="s">
        <v>16</v>
      </c>
      <c r="D48" s="1" t="s">
        <v>24</v>
      </c>
      <c r="E48" s="8" t="s">
        <v>65</v>
      </c>
      <c r="F48" s="12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2</v>
      </c>
      <c r="G48" t="s">
        <v>40</v>
      </c>
      <c r="H48" s="1">
        <v>20</v>
      </c>
      <c r="I48" s="1" t="s">
        <v>43</v>
      </c>
      <c r="J48" s="8">
        <v>2</v>
      </c>
      <c r="K48" s="13">
        <f>BKV_Eindbeelden[[#This Row],[Stabiliteitskluitdiameter (m)]]/2</f>
        <v>1</v>
      </c>
      <c r="L48" s="1">
        <v>3.5</v>
      </c>
      <c r="M48" s="1">
        <v>7.5</v>
      </c>
      <c r="N48" s="14">
        <f>IF(BKV_Eindbeelden[[#This Row],[Stabiliteitskluit Straal (m)]]&lt;0.75,0.75,BKV_Eindbeelden[[#This Row],[Stabiliteitskluit Straal (m)]])</f>
        <v>1</v>
      </c>
      <c r="O48" s="1" t="s">
        <v>46</v>
      </c>
      <c r="P48" s="1" t="s">
        <v>43</v>
      </c>
      <c r="Q48" s="1" t="s">
        <v>47</v>
      </c>
      <c r="R48" s="1" t="s">
        <v>48</v>
      </c>
      <c r="S48" s="1" t="str">
        <f>BKV_Eindbeelden[[#This Row],[Beoogde omloop]]&amp;"JR"</f>
        <v>30JR</v>
      </c>
      <c r="T48" s="1" t="s">
        <v>48</v>
      </c>
      <c r="U48" s="1" t="str">
        <f>UPPER(BKV_Eindbeelden[[#This Row],[Boomgrootte]])</f>
        <v>VORMBOOM</v>
      </c>
      <c r="V48" s="1" t="s">
        <v>48</v>
      </c>
      <c r="W48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48" s="1" t="s">
        <v>48</v>
      </c>
      <c r="Y48" s="1" t="str">
        <f>IF(BKV_Eindbeelden[[#This Row],[Groeitype]]="Regulier Groeiend","REGULIER",IF(BKV_Eindbeelden[[#This Row],[Groeitype]]="Snelgroeiend","SNEL",""))</f>
        <v>SNEL</v>
      </c>
      <c r="Z48" s="1" t="str">
        <f>_xlfn.CONCAT(BKV_Eindbeelden[[#This Row],[Bibliotheeknaam]:[Naamdeel5]])</f>
        <v>SGR-BOOM_30JR_VORMBOOM_NORMAAL_SNEL</v>
      </c>
    </row>
    <row r="49" spans="1:26" x14ac:dyDescent="0.25">
      <c r="A49" s="1" t="s">
        <v>64</v>
      </c>
      <c r="B49" s="1">
        <v>30</v>
      </c>
      <c r="C49" s="1" t="s">
        <v>16</v>
      </c>
      <c r="D49" s="1" t="s">
        <v>31</v>
      </c>
      <c r="E49" s="8" t="s">
        <v>68</v>
      </c>
      <c r="F49" s="12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1.5</v>
      </c>
      <c r="G49" t="s">
        <v>40</v>
      </c>
      <c r="H49" s="1">
        <v>12</v>
      </c>
      <c r="I49" s="1" t="s">
        <v>43</v>
      </c>
      <c r="J49" s="8">
        <v>2</v>
      </c>
      <c r="K49" s="13">
        <f>BKV_Eindbeelden[[#This Row],[Stabiliteitskluitdiameter (m)]]/2</f>
        <v>1</v>
      </c>
      <c r="L49" s="1">
        <v>2.5</v>
      </c>
      <c r="M49" s="1">
        <v>5</v>
      </c>
      <c r="N49" s="14">
        <f>IF(BKV_Eindbeelden[[#This Row],[Stabiliteitskluit Straal (m)]]&lt;0.75,0.75,BKV_Eindbeelden[[#This Row],[Stabiliteitskluit Straal (m)]])</f>
        <v>1</v>
      </c>
      <c r="O49" s="1" t="s">
        <v>46</v>
      </c>
      <c r="P49" s="1" t="s">
        <v>43</v>
      </c>
      <c r="Q49" s="1" t="s">
        <v>47</v>
      </c>
      <c r="R49" s="1" t="s">
        <v>48</v>
      </c>
      <c r="S49" s="1" t="str">
        <f>BKV_Eindbeelden[[#This Row],[Beoogde omloop]]&amp;"JR"</f>
        <v>30JR</v>
      </c>
      <c r="T49" s="1" t="s">
        <v>48</v>
      </c>
      <c r="U49" s="1" t="str">
        <f>UPPER(BKV_Eindbeelden[[#This Row],[Boomgrootte]])</f>
        <v>VORMBOOM</v>
      </c>
      <c r="V49" s="1" t="s">
        <v>48</v>
      </c>
      <c r="W49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49" s="1" t="s">
        <v>48</v>
      </c>
      <c r="Y49" s="1" t="str">
        <f>IF(BKV_Eindbeelden[[#This Row],[Groeitype]]="Regulier Groeiend","REGULIER",IF(BKV_Eindbeelden[[#This Row],[Groeitype]]="Snelgroeiend","SNEL",""))</f>
        <v>SNEL</v>
      </c>
      <c r="Z49" s="1" t="str">
        <f>_xlfn.CONCAT(BKV_Eindbeelden[[#This Row],[Bibliotheeknaam]:[Naamdeel5]])</f>
        <v>SGR-BOOM_30JR_VORMBOOM_SMAL_SNEL</v>
      </c>
    </row>
    <row r="50" spans="1:26" x14ac:dyDescent="0.25">
      <c r="A50" s="1" t="s">
        <v>10</v>
      </c>
      <c r="B50" s="1">
        <v>40</v>
      </c>
      <c r="C50" s="1" t="s">
        <v>11</v>
      </c>
      <c r="D50" s="1" t="s">
        <v>12</v>
      </c>
      <c r="E50" s="8" t="s">
        <v>17</v>
      </c>
      <c r="F50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8.75</v>
      </c>
      <c r="G50" t="s">
        <v>18</v>
      </c>
      <c r="H50" s="1">
        <v>2400</v>
      </c>
      <c r="I50" s="1" t="s">
        <v>19</v>
      </c>
      <c r="J50" s="8">
        <v>4.5</v>
      </c>
      <c r="K50" s="6">
        <f>BKV_Eindbeelden[[#This Row],[Stabiliteitskluitdiameter (m)]]/2</f>
        <v>2.25</v>
      </c>
      <c r="L50" s="1">
        <v>30</v>
      </c>
      <c r="M50" s="1">
        <v>50</v>
      </c>
      <c r="N50" s="5">
        <f>IF(BKV_Eindbeelden[[#This Row],[Stabiliteitskluit Straal (m)]]&lt;0.75,0.75,BKV_Eindbeelden[[#This Row],[Stabiliteitskluit Straal (m)]])</f>
        <v>2.25</v>
      </c>
      <c r="O50" s="1" t="s">
        <v>46</v>
      </c>
      <c r="P50" s="1" t="s">
        <v>43</v>
      </c>
      <c r="Q50" s="1" t="s">
        <v>47</v>
      </c>
      <c r="R50" s="1" t="s">
        <v>48</v>
      </c>
      <c r="S50" s="1" t="str">
        <f>BKV_Eindbeelden[[#This Row],[Beoogde omloop]]&amp;"JR"</f>
        <v>40JR</v>
      </c>
      <c r="T50" s="1" t="s">
        <v>48</v>
      </c>
      <c r="U50" s="1" t="str">
        <f>UPPER(BKV_Eindbeelden[[#This Row],[Boomgrootte]])</f>
        <v>1E GROOTTE</v>
      </c>
      <c r="V50" s="1" t="s">
        <v>48</v>
      </c>
      <c r="W50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50" s="1" t="s">
        <v>48</v>
      </c>
      <c r="Y50" s="1" t="str">
        <f>IF(BKV_Eindbeelden[[#This Row],[Groeitype]]="Regulier Groeiend","REGULIER",IF(BKV_Eindbeelden[[#This Row],[Groeitype]]="Snelgroeiend","SNEL",""))</f>
        <v>REGULIER</v>
      </c>
      <c r="Z50" s="1" t="str">
        <f>_xlfn.CONCAT(BKV_Eindbeelden[[#This Row],[Bibliotheeknaam]:[Naamdeel5]])</f>
        <v>SGR-BOOM_40JR_1E GROOTTE_BREED_REGULIER</v>
      </c>
    </row>
    <row r="51" spans="1:26" x14ac:dyDescent="0.25">
      <c r="A51" s="1" t="s">
        <v>10</v>
      </c>
      <c r="B51" s="1">
        <v>40</v>
      </c>
      <c r="C51" s="1" t="s">
        <v>16</v>
      </c>
      <c r="D51" s="1" t="s">
        <v>12</v>
      </c>
      <c r="E51" s="8" t="s">
        <v>22</v>
      </c>
      <c r="F51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12.5</v>
      </c>
      <c r="G51" t="s">
        <v>18</v>
      </c>
      <c r="H51" s="1">
        <v>5920</v>
      </c>
      <c r="I51" s="1" t="s">
        <v>23</v>
      </c>
      <c r="J51" s="8">
        <v>5.5</v>
      </c>
      <c r="K51" s="6">
        <f>BKV_Eindbeelden[[#This Row],[Stabiliteitskluitdiameter (m)]]/2</f>
        <v>2.75</v>
      </c>
      <c r="L51" s="1">
        <v>50</v>
      </c>
      <c r="M51" s="1">
        <v>75</v>
      </c>
      <c r="N51" s="5">
        <f>IF(BKV_Eindbeelden[[#This Row],[Stabiliteitskluit Straal (m)]]&lt;0.75,0.75,BKV_Eindbeelden[[#This Row],[Stabiliteitskluit Straal (m)]])</f>
        <v>2.75</v>
      </c>
      <c r="O51" s="1" t="s">
        <v>46</v>
      </c>
      <c r="P51" s="1" t="s">
        <v>43</v>
      </c>
      <c r="Q51" s="1" t="s">
        <v>47</v>
      </c>
      <c r="R51" s="1" t="s">
        <v>48</v>
      </c>
      <c r="S51" s="1" t="str">
        <f>BKV_Eindbeelden[[#This Row],[Beoogde omloop]]&amp;"JR"</f>
        <v>40JR</v>
      </c>
      <c r="T51" s="1" t="s">
        <v>48</v>
      </c>
      <c r="U51" s="1" t="str">
        <f>UPPER(BKV_Eindbeelden[[#This Row],[Boomgrootte]])</f>
        <v>1E GROOTTE</v>
      </c>
      <c r="V51" s="1" t="s">
        <v>48</v>
      </c>
      <c r="W51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51" s="1" t="s">
        <v>48</v>
      </c>
      <c r="Y51" s="1" t="str">
        <f>IF(BKV_Eindbeelden[[#This Row],[Groeitype]]="Regulier Groeiend","REGULIER",IF(BKV_Eindbeelden[[#This Row],[Groeitype]]="Snelgroeiend","SNEL",""))</f>
        <v>SNEL</v>
      </c>
      <c r="Z51" s="1" t="str">
        <f>_xlfn.CONCAT(BKV_Eindbeelden[[#This Row],[Bibliotheeknaam]:[Naamdeel5]])</f>
        <v>SGR-BOOM_40JR_1E GROOTTE_BREED_SNEL</v>
      </c>
    </row>
    <row r="52" spans="1:26" x14ac:dyDescent="0.25">
      <c r="A52" s="1" t="s">
        <v>10</v>
      </c>
      <c r="B52" s="1">
        <v>40</v>
      </c>
      <c r="C52" s="1" t="s">
        <v>11</v>
      </c>
      <c r="D52" s="1" t="s">
        <v>24</v>
      </c>
      <c r="E52" s="8" t="s">
        <v>28</v>
      </c>
      <c r="F52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6.25</v>
      </c>
      <c r="G52" t="s">
        <v>14</v>
      </c>
      <c r="H52" s="1">
        <v>750</v>
      </c>
      <c r="I52" s="1" t="s">
        <v>15</v>
      </c>
      <c r="J52" s="8">
        <v>4</v>
      </c>
      <c r="K52" s="6">
        <f>BKV_Eindbeelden[[#This Row],[Stabiliteitskluitdiameter (m)]]/2</f>
        <v>2</v>
      </c>
      <c r="L52" s="1">
        <v>20</v>
      </c>
      <c r="M52" s="1">
        <v>30</v>
      </c>
      <c r="N52" s="5">
        <f>IF(BKV_Eindbeelden[[#This Row],[Stabiliteitskluit Straal (m)]]&lt;0.75,0.75,BKV_Eindbeelden[[#This Row],[Stabiliteitskluit Straal (m)]])</f>
        <v>2</v>
      </c>
      <c r="O52" s="1" t="s">
        <v>46</v>
      </c>
      <c r="P52" s="1" t="s">
        <v>43</v>
      </c>
      <c r="Q52" s="1" t="s">
        <v>47</v>
      </c>
      <c r="R52" s="1" t="s">
        <v>48</v>
      </c>
      <c r="S52" s="1" t="str">
        <f>BKV_Eindbeelden[[#This Row],[Beoogde omloop]]&amp;"JR"</f>
        <v>40JR</v>
      </c>
      <c r="T52" s="1" t="s">
        <v>48</v>
      </c>
      <c r="U52" s="1" t="str">
        <f>UPPER(BKV_Eindbeelden[[#This Row],[Boomgrootte]])</f>
        <v>1E GROOTTE</v>
      </c>
      <c r="V52" s="1" t="s">
        <v>48</v>
      </c>
      <c r="W52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52" s="1" t="s">
        <v>48</v>
      </c>
      <c r="Y52" s="1" t="str">
        <f>IF(BKV_Eindbeelden[[#This Row],[Groeitype]]="Regulier Groeiend","REGULIER",IF(BKV_Eindbeelden[[#This Row],[Groeitype]]="Snelgroeiend","SNEL",""))</f>
        <v>REGULIER</v>
      </c>
      <c r="Z52" s="1" t="str">
        <f>_xlfn.CONCAT(BKV_Eindbeelden[[#This Row],[Bibliotheeknaam]:[Naamdeel5]])</f>
        <v>SGR-BOOM_40JR_1E GROOTTE_NORMAAL_REGULIER</v>
      </c>
    </row>
    <row r="53" spans="1:26" x14ac:dyDescent="0.25">
      <c r="A53" s="1" t="s">
        <v>10</v>
      </c>
      <c r="B53" s="1">
        <v>40</v>
      </c>
      <c r="C53" s="1" t="s">
        <v>16</v>
      </c>
      <c r="D53" s="1" t="s">
        <v>24</v>
      </c>
      <c r="E53" s="8" t="s">
        <v>29</v>
      </c>
      <c r="F53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8.75</v>
      </c>
      <c r="G53" t="s">
        <v>30</v>
      </c>
      <c r="H53" s="1">
        <v>3360</v>
      </c>
      <c r="I53" s="1" t="s">
        <v>21</v>
      </c>
      <c r="J53" s="8">
        <v>5</v>
      </c>
      <c r="K53" s="6">
        <f>BKV_Eindbeelden[[#This Row],[Stabiliteitskluitdiameter (m)]]/2</f>
        <v>2.5</v>
      </c>
      <c r="L53" s="1">
        <v>35</v>
      </c>
      <c r="M53" s="1">
        <v>55</v>
      </c>
      <c r="N53" s="5">
        <f>IF(BKV_Eindbeelden[[#This Row],[Stabiliteitskluit Straal (m)]]&lt;0.75,0.75,BKV_Eindbeelden[[#This Row],[Stabiliteitskluit Straal (m)]])</f>
        <v>2.5</v>
      </c>
      <c r="O53" s="1" t="s">
        <v>46</v>
      </c>
      <c r="P53" s="1" t="s">
        <v>43</v>
      </c>
      <c r="Q53" s="1" t="s">
        <v>47</v>
      </c>
      <c r="R53" s="1" t="s">
        <v>48</v>
      </c>
      <c r="S53" s="1" t="str">
        <f>BKV_Eindbeelden[[#This Row],[Beoogde omloop]]&amp;"JR"</f>
        <v>40JR</v>
      </c>
      <c r="T53" s="1" t="s">
        <v>48</v>
      </c>
      <c r="U53" s="1" t="str">
        <f>UPPER(BKV_Eindbeelden[[#This Row],[Boomgrootte]])</f>
        <v>1E GROOTTE</v>
      </c>
      <c r="V53" s="1" t="s">
        <v>48</v>
      </c>
      <c r="W53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53" s="1" t="s">
        <v>48</v>
      </c>
      <c r="Y53" s="1" t="str">
        <f>IF(BKV_Eindbeelden[[#This Row],[Groeitype]]="Regulier Groeiend","REGULIER",IF(BKV_Eindbeelden[[#This Row],[Groeitype]]="Snelgroeiend","SNEL",""))</f>
        <v>SNEL</v>
      </c>
      <c r="Z53" s="1" t="str">
        <f>_xlfn.CONCAT(BKV_Eindbeelden[[#This Row],[Bibliotheeknaam]:[Naamdeel5]])</f>
        <v>SGR-BOOM_40JR_1E GROOTTE_NORMAAL_SNEL</v>
      </c>
    </row>
    <row r="54" spans="1:26" x14ac:dyDescent="0.25">
      <c r="A54" s="1" t="s">
        <v>10</v>
      </c>
      <c r="B54" s="1">
        <v>40</v>
      </c>
      <c r="C54" s="1" t="s">
        <v>11</v>
      </c>
      <c r="D54" s="1" t="s">
        <v>31</v>
      </c>
      <c r="E54" s="8" t="s">
        <v>34</v>
      </c>
      <c r="F54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54" t="s">
        <v>14</v>
      </c>
      <c r="H54" s="1">
        <v>270</v>
      </c>
      <c r="I54" s="1" t="s">
        <v>35</v>
      </c>
      <c r="J54" s="8">
        <v>3</v>
      </c>
      <c r="K54" s="6">
        <f>BKV_Eindbeelden[[#This Row],[Stabiliteitskluitdiameter (m)]]/2</f>
        <v>1.5</v>
      </c>
      <c r="L54" s="1">
        <v>15</v>
      </c>
      <c r="M54" s="1">
        <v>22.5</v>
      </c>
      <c r="N54" s="5">
        <f>IF(BKV_Eindbeelden[[#This Row],[Stabiliteitskluit Straal (m)]]&lt;0.75,0.75,BKV_Eindbeelden[[#This Row],[Stabiliteitskluit Straal (m)]])</f>
        <v>1.5</v>
      </c>
      <c r="O54" s="1" t="s">
        <v>46</v>
      </c>
      <c r="P54" s="1" t="s">
        <v>43</v>
      </c>
      <c r="Q54" s="1" t="s">
        <v>47</v>
      </c>
      <c r="R54" s="1" t="s">
        <v>48</v>
      </c>
      <c r="S54" s="1" t="str">
        <f>BKV_Eindbeelden[[#This Row],[Beoogde omloop]]&amp;"JR"</f>
        <v>40JR</v>
      </c>
      <c r="T54" s="1" t="s">
        <v>48</v>
      </c>
      <c r="U54" s="1" t="str">
        <f>UPPER(BKV_Eindbeelden[[#This Row],[Boomgrootte]])</f>
        <v>1E GROOTTE</v>
      </c>
      <c r="V54" s="1" t="s">
        <v>48</v>
      </c>
      <c r="W54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54" s="1" t="s">
        <v>48</v>
      </c>
      <c r="Y54" s="1" t="str">
        <f>IF(BKV_Eindbeelden[[#This Row],[Groeitype]]="Regulier Groeiend","REGULIER",IF(BKV_Eindbeelden[[#This Row],[Groeitype]]="Snelgroeiend","SNEL",""))</f>
        <v>REGULIER</v>
      </c>
      <c r="Z54" s="1" t="str">
        <f>_xlfn.CONCAT(BKV_Eindbeelden[[#This Row],[Bibliotheeknaam]:[Naamdeel5]])</f>
        <v>SGR-BOOM_40JR_1E GROOTTE_SMAL_REGULIER</v>
      </c>
    </row>
    <row r="55" spans="1:26" x14ac:dyDescent="0.25">
      <c r="A55" s="1" t="s">
        <v>10</v>
      </c>
      <c r="B55" s="1">
        <v>40</v>
      </c>
      <c r="C55" s="1" t="s">
        <v>16</v>
      </c>
      <c r="D55" s="1" t="s">
        <v>31</v>
      </c>
      <c r="E55" s="8" t="s">
        <v>37</v>
      </c>
      <c r="F55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55" t="s">
        <v>30</v>
      </c>
      <c r="H55" s="1">
        <v>620</v>
      </c>
      <c r="I55" s="1" t="s">
        <v>15</v>
      </c>
      <c r="J55" s="8">
        <v>4</v>
      </c>
      <c r="K55" s="6">
        <f>BKV_Eindbeelden[[#This Row],[Stabiliteitskluitdiameter (m)]]/2</f>
        <v>2</v>
      </c>
      <c r="L55" s="1">
        <v>20</v>
      </c>
      <c r="M55" s="1">
        <v>30</v>
      </c>
      <c r="N55" s="5">
        <f>IF(BKV_Eindbeelden[[#This Row],[Stabiliteitskluit Straal (m)]]&lt;0.75,0.75,BKV_Eindbeelden[[#This Row],[Stabiliteitskluit Straal (m)]])</f>
        <v>2</v>
      </c>
      <c r="O55" s="1" t="s">
        <v>46</v>
      </c>
      <c r="P55" s="1" t="s">
        <v>43</v>
      </c>
      <c r="Q55" s="1" t="s">
        <v>47</v>
      </c>
      <c r="R55" s="1" t="s">
        <v>48</v>
      </c>
      <c r="S55" s="1" t="str">
        <f>BKV_Eindbeelden[[#This Row],[Beoogde omloop]]&amp;"JR"</f>
        <v>40JR</v>
      </c>
      <c r="T55" s="1" t="s">
        <v>48</v>
      </c>
      <c r="U55" s="1" t="str">
        <f>UPPER(BKV_Eindbeelden[[#This Row],[Boomgrootte]])</f>
        <v>1E GROOTTE</v>
      </c>
      <c r="V55" s="1" t="s">
        <v>48</v>
      </c>
      <c r="W55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55" s="1" t="s">
        <v>48</v>
      </c>
      <c r="Y55" s="1" t="str">
        <f>IF(BKV_Eindbeelden[[#This Row],[Groeitype]]="Regulier Groeiend","REGULIER",IF(BKV_Eindbeelden[[#This Row],[Groeitype]]="Snelgroeiend","SNEL",""))</f>
        <v>SNEL</v>
      </c>
      <c r="Z55" s="1" t="str">
        <f>_xlfn.CONCAT(BKV_Eindbeelden[[#This Row],[Bibliotheeknaam]:[Naamdeel5]])</f>
        <v>SGR-BOOM_40JR_1E GROOTTE_SMAL_SNEL</v>
      </c>
    </row>
    <row r="56" spans="1:26" x14ac:dyDescent="0.25">
      <c r="A56" s="1" t="s">
        <v>38</v>
      </c>
      <c r="B56" s="1">
        <v>40</v>
      </c>
      <c r="C56" s="1" t="s">
        <v>11</v>
      </c>
      <c r="D56" s="1" t="s">
        <v>12</v>
      </c>
      <c r="E56" s="8" t="s">
        <v>28</v>
      </c>
      <c r="F56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6.25</v>
      </c>
      <c r="G56" t="s">
        <v>26</v>
      </c>
      <c r="H56" s="1">
        <v>415</v>
      </c>
      <c r="I56" s="1" t="s">
        <v>35</v>
      </c>
      <c r="J56" s="8">
        <v>3.5</v>
      </c>
      <c r="K56" s="6">
        <f>BKV_Eindbeelden[[#This Row],[Stabiliteitskluitdiameter (m)]]/2</f>
        <v>1.75</v>
      </c>
      <c r="L56" s="1">
        <v>17.5</v>
      </c>
      <c r="M56" s="1">
        <v>25</v>
      </c>
      <c r="N56" s="5">
        <f>IF(BKV_Eindbeelden[[#This Row],[Stabiliteitskluit Straal (m)]]&lt;0.75,0.75,BKV_Eindbeelden[[#This Row],[Stabiliteitskluit Straal (m)]])</f>
        <v>1.75</v>
      </c>
      <c r="O56" s="1" t="s">
        <v>46</v>
      </c>
      <c r="P56" s="1" t="s">
        <v>43</v>
      </c>
      <c r="Q56" s="1" t="s">
        <v>47</v>
      </c>
      <c r="R56" s="1" t="s">
        <v>48</v>
      </c>
      <c r="S56" s="1" t="str">
        <f>BKV_Eindbeelden[[#This Row],[Beoogde omloop]]&amp;"JR"</f>
        <v>40JR</v>
      </c>
      <c r="T56" s="1" t="s">
        <v>48</v>
      </c>
      <c r="U56" s="1" t="str">
        <f>UPPER(BKV_Eindbeelden[[#This Row],[Boomgrootte]])</f>
        <v>2E GROOTTE</v>
      </c>
      <c r="V56" s="1" t="s">
        <v>48</v>
      </c>
      <c r="W56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56" s="1" t="s">
        <v>48</v>
      </c>
      <c r="Y56" s="1" t="str">
        <f>IF(BKV_Eindbeelden[[#This Row],[Groeitype]]="Regulier Groeiend","REGULIER",IF(BKV_Eindbeelden[[#This Row],[Groeitype]]="Snelgroeiend","SNEL",""))</f>
        <v>REGULIER</v>
      </c>
      <c r="Z56" s="1" t="str">
        <f>_xlfn.CONCAT(BKV_Eindbeelden[[#This Row],[Bibliotheeknaam]:[Naamdeel5]])</f>
        <v>SGR-BOOM_40JR_2E GROOTTE_BREED_REGULIER</v>
      </c>
    </row>
    <row r="57" spans="1:26" x14ac:dyDescent="0.25">
      <c r="A57" s="1" t="s">
        <v>38</v>
      </c>
      <c r="B57" s="1">
        <v>40</v>
      </c>
      <c r="C57" s="1" t="s">
        <v>16</v>
      </c>
      <c r="D57" s="1" t="s">
        <v>12</v>
      </c>
      <c r="E57" s="8" t="s">
        <v>29</v>
      </c>
      <c r="F57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8.75</v>
      </c>
      <c r="G57" t="s">
        <v>14</v>
      </c>
      <c r="H57" s="1">
        <v>1440</v>
      </c>
      <c r="I57" s="1" t="s">
        <v>19</v>
      </c>
      <c r="J57" s="8">
        <v>4.5</v>
      </c>
      <c r="K57" s="6">
        <f>BKV_Eindbeelden[[#This Row],[Stabiliteitskluitdiameter (m)]]/2</f>
        <v>2.25</v>
      </c>
      <c r="L57" s="1">
        <v>25</v>
      </c>
      <c r="M57" s="1">
        <v>40</v>
      </c>
      <c r="N57" s="5">
        <f>IF(BKV_Eindbeelden[[#This Row],[Stabiliteitskluit Straal (m)]]&lt;0.75,0.75,BKV_Eindbeelden[[#This Row],[Stabiliteitskluit Straal (m)]])</f>
        <v>2.25</v>
      </c>
      <c r="O57" s="1" t="s">
        <v>46</v>
      </c>
      <c r="P57" s="1" t="s">
        <v>43</v>
      </c>
      <c r="Q57" s="1" t="s">
        <v>47</v>
      </c>
      <c r="R57" s="1" t="s">
        <v>48</v>
      </c>
      <c r="S57" s="1" t="str">
        <f>BKV_Eindbeelden[[#This Row],[Beoogde omloop]]&amp;"JR"</f>
        <v>40JR</v>
      </c>
      <c r="T57" s="1" t="s">
        <v>48</v>
      </c>
      <c r="U57" s="1" t="str">
        <f>UPPER(BKV_Eindbeelden[[#This Row],[Boomgrootte]])</f>
        <v>2E GROOTTE</v>
      </c>
      <c r="V57" s="1" t="s">
        <v>48</v>
      </c>
      <c r="W57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57" s="1" t="s">
        <v>48</v>
      </c>
      <c r="Y57" s="1" t="str">
        <f>IF(BKV_Eindbeelden[[#This Row],[Groeitype]]="Regulier Groeiend","REGULIER",IF(BKV_Eindbeelden[[#This Row],[Groeitype]]="Snelgroeiend","SNEL",""))</f>
        <v>SNEL</v>
      </c>
      <c r="Z57" s="1" t="str">
        <f>_xlfn.CONCAT(BKV_Eindbeelden[[#This Row],[Bibliotheeknaam]:[Naamdeel5]])</f>
        <v>SGR-BOOM_40JR_2E GROOTTE_BREED_SNEL</v>
      </c>
    </row>
    <row r="58" spans="1:26" x14ac:dyDescent="0.25">
      <c r="A58" s="1" t="s">
        <v>38</v>
      </c>
      <c r="B58" s="1">
        <v>40</v>
      </c>
      <c r="C58" s="1" t="s">
        <v>11</v>
      </c>
      <c r="D58" s="1" t="s">
        <v>24</v>
      </c>
      <c r="E58" s="8" t="s">
        <v>25</v>
      </c>
      <c r="F58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58" t="s">
        <v>26</v>
      </c>
      <c r="H58" s="1">
        <v>150</v>
      </c>
      <c r="I58" s="1" t="s">
        <v>27</v>
      </c>
      <c r="J58" s="8">
        <v>3</v>
      </c>
      <c r="K58" s="6">
        <f>BKV_Eindbeelden[[#This Row],[Stabiliteitskluitdiameter (m)]]/2</f>
        <v>1.5</v>
      </c>
      <c r="L58" s="1">
        <v>12.5</v>
      </c>
      <c r="M58" s="1">
        <v>17.5</v>
      </c>
      <c r="N58" s="5">
        <f>IF(BKV_Eindbeelden[[#This Row],[Stabiliteitskluit Straal (m)]]&lt;0.75,0.75,BKV_Eindbeelden[[#This Row],[Stabiliteitskluit Straal (m)]])</f>
        <v>1.5</v>
      </c>
      <c r="O58" s="1" t="s">
        <v>46</v>
      </c>
      <c r="P58" s="1" t="s">
        <v>43</v>
      </c>
      <c r="Q58" s="1" t="s">
        <v>47</v>
      </c>
      <c r="R58" s="1" t="s">
        <v>48</v>
      </c>
      <c r="S58" s="1" t="str">
        <f>BKV_Eindbeelden[[#This Row],[Beoogde omloop]]&amp;"JR"</f>
        <v>40JR</v>
      </c>
      <c r="T58" s="1" t="s">
        <v>48</v>
      </c>
      <c r="U58" s="1" t="str">
        <f>UPPER(BKV_Eindbeelden[[#This Row],[Boomgrootte]])</f>
        <v>2E GROOTTE</v>
      </c>
      <c r="V58" s="1" t="s">
        <v>48</v>
      </c>
      <c r="W58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58" s="1" t="s">
        <v>48</v>
      </c>
      <c r="Y58" s="1" t="str">
        <f>IF(BKV_Eindbeelden[[#This Row],[Groeitype]]="Regulier Groeiend","REGULIER",IF(BKV_Eindbeelden[[#This Row],[Groeitype]]="Snelgroeiend","SNEL",""))</f>
        <v>REGULIER</v>
      </c>
      <c r="Z58" s="1" t="str">
        <f>_xlfn.CONCAT(BKV_Eindbeelden[[#This Row],[Bibliotheeknaam]:[Naamdeel5]])</f>
        <v>SGR-BOOM_40JR_2E GROOTTE_NORMAAL_REGULIER</v>
      </c>
    </row>
    <row r="59" spans="1:26" x14ac:dyDescent="0.25">
      <c r="A59" s="1" t="s">
        <v>38</v>
      </c>
      <c r="B59" s="1">
        <v>40</v>
      </c>
      <c r="C59" s="1" t="s">
        <v>16</v>
      </c>
      <c r="D59" s="1" t="s">
        <v>24</v>
      </c>
      <c r="E59" s="8" t="s">
        <v>28</v>
      </c>
      <c r="F59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6.25</v>
      </c>
      <c r="G59" t="s">
        <v>14</v>
      </c>
      <c r="H59" s="1">
        <v>750</v>
      </c>
      <c r="I59" s="1" t="s">
        <v>15</v>
      </c>
      <c r="J59" s="8">
        <v>4</v>
      </c>
      <c r="K59" s="6">
        <f>BKV_Eindbeelden[[#This Row],[Stabiliteitskluitdiameter (m)]]/2</f>
        <v>2</v>
      </c>
      <c r="L59" s="1">
        <v>20</v>
      </c>
      <c r="M59" s="1">
        <v>30</v>
      </c>
      <c r="N59" s="5">
        <f>IF(BKV_Eindbeelden[[#This Row],[Stabiliteitskluit Straal (m)]]&lt;0.75,0.75,BKV_Eindbeelden[[#This Row],[Stabiliteitskluit Straal (m)]])</f>
        <v>2</v>
      </c>
      <c r="O59" s="1" t="s">
        <v>46</v>
      </c>
      <c r="P59" s="1" t="s">
        <v>43</v>
      </c>
      <c r="Q59" s="1" t="s">
        <v>47</v>
      </c>
      <c r="R59" s="1" t="s">
        <v>48</v>
      </c>
      <c r="S59" s="1" t="str">
        <f>BKV_Eindbeelden[[#This Row],[Beoogde omloop]]&amp;"JR"</f>
        <v>40JR</v>
      </c>
      <c r="T59" s="1" t="s">
        <v>48</v>
      </c>
      <c r="U59" s="1" t="str">
        <f>UPPER(BKV_Eindbeelden[[#This Row],[Boomgrootte]])</f>
        <v>2E GROOTTE</v>
      </c>
      <c r="V59" s="1" t="s">
        <v>48</v>
      </c>
      <c r="W59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59" s="1" t="s">
        <v>48</v>
      </c>
      <c r="Y59" s="1" t="str">
        <f>IF(BKV_Eindbeelden[[#This Row],[Groeitype]]="Regulier Groeiend","REGULIER",IF(BKV_Eindbeelden[[#This Row],[Groeitype]]="Snelgroeiend","SNEL",""))</f>
        <v>SNEL</v>
      </c>
      <c r="Z59" s="1" t="str">
        <f>_xlfn.CONCAT(BKV_Eindbeelden[[#This Row],[Bibliotheeknaam]:[Naamdeel5]])</f>
        <v>SGR-BOOM_40JR_2E GROOTTE_NORMAAL_SNEL</v>
      </c>
    </row>
    <row r="60" spans="1:26" x14ac:dyDescent="0.25">
      <c r="A60" s="1" t="s">
        <v>38</v>
      </c>
      <c r="B60" s="1">
        <v>40</v>
      </c>
      <c r="C60" s="1" t="s">
        <v>11</v>
      </c>
      <c r="D60" s="1" t="s">
        <v>31</v>
      </c>
      <c r="E60" s="8" t="s">
        <v>32</v>
      </c>
      <c r="F60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2</v>
      </c>
      <c r="G60" t="s">
        <v>26</v>
      </c>
      <c r="H60" s="1">
        <v>40</v>
      </c>
      <c r="I60" s="1" t="s">
        <v>33</v>
      </c>
      <c r="J60" s="8">
        <v>2.5</v>
      </c>
      <c r="K60" s="6">
        <f>BKV_Eindbeelden[[#This Row],[Stabiliteitskluitdiameter (m)]]/2</f>
        <v>1.25</v>
      </c>
      <c r="L60" s="1">
        <v>5</v>
      </c>
      <c r="M60" s="1">
        <v>10</v>
      </c>
      <c r="N60" s="5">
        <f>IF(BKV_Eindbeelden[[#This Row],[Stabiliteitskluit Straal (m)]]&lt;0.75,0.75,BKV_Eindbeelden[[#This Row],[Stabiliteitskluit Straal (m)]])</f>
        <v>1.25</v>
      </c>
      <c r="O60" s="1" t="s">
        <v>46</v>
      </c>
      <c r="P60" s="1" t="s">
        <v>43</v>
      </c>
      <c r="Q60" s="1" t="s">
        <v>47</v>
      </c>
      <c r="R60" s="1" t="s">
        <v>48</v>
      </c>
      <c r="S60" s="1" t="str">
        <f>BKV_Eindbeelden[[#This Row],[Beoogde omloop]]&amp;"JR"</f>
        <v>40JR</v>
      </c>
      <c r="T60" s="1" t="s">
        <v>48</v>
      </c>
      <c r="U60" s="1" t="str">
        <f>UPPER(BKV_Eindbeelden[[#This Row],[Boomgrootte]])</f>
        <v>2E GROOTTE</v>
      </c>
      <c r="V60" s="1" t="s">
        <v>48</v>
      </c>
      <c r="W60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60" s="1" t="s">
        <v>48</v>
      </c>
      <c r="Y60" s="1" t="str">
        <f>IF(BKV_Eindbeelden[[#This Row],[Groeitype]]="Regulier Groeiend","REGULIER",IF(BKV_Eindbeelden[[#This Row],[Groeitype]]="Snelgroeiend","SNEL",""))</f>
        <v>REGULIER</v>
      </c>
      <c r="Z60" s="1" t="str">
        <f>_xlfn.CONCAT(BKV_Eindbeelden[[#This Row],[Bibliotheeknaam]:[Naamdeel5]])</f>
        <v>SGR-BOOM_40JR_2E GROOTTE_SMAL_REGULIER</v>
      </c>
    </row>
    <row r="61" spans="1:26" x14ac:dyDescent="0.25">
      <c r="A61" s="1" t="s">
        <v>38</v>
      </c>
      <c r="B61" s="1">
        <v>40</v>
      </c>
      <c r="C61" s="1" t="s">
        <v>16</v>
      </c>
      <c r="D61" s="1" t="s">
        <v>31</v>
      </c>
      <c r="E61" s="8" t="s">
        <v>36</v>
      </c>
      <c r="F61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61" t="s">
        <v>14</v>
      </c>
      <c r="H61" s="1">
        <v>270</v>
      </c>
      <c r="I61" s="1" t="s">
        <v>35</v>
      </c>
      <c r="J61" s="8">
        <v>3.5</v>
      </c>
      <c r="K61" s="6">
        <f>BKV_Eindbeelden[[#This Row],[Stabiliteitskluitdiameter (m)]]/2</f>
        <v>1.75</v>
      </c>
      <c r="L61" s="1">
        <v>15</v>
      </c>
      <c r="M61" s="1">
        <v>22.5</v>
      </c>
      <c r="N61" s="5">
        <f>IF(BKV_Eindbeelden[[#This Row],[Stabiliteitskluit Straal (m)]]&lt;0.75,0.75,BKV_Eindbeelden[[#This Row],[Stabiliteitskluit Straal (m)]])</f>
        <v>1.75</v>
      </c>
      <c r="O61" s="1" t="s">
        <v>46</v>
      </c>
      <c r="P61" s="1" t="s">
        <v>43</v>
      </c>
      <c r="Q61" s="1" t="s">
        <v>47</v>
      </c>
      <c r="R61" s="1" t="s">
        <v>48</v>
      </c>
      <c r="S61" s="1" t="str">
        <f>BKV_Eindbeelden[[#This Row],[Beoogde omloop]]&amp;"JR"</f>
        <v>40JR</v>
      </c>
      <c r="T61" s="1" t="s">
        <v>48</v>
      </c>
      <c r="U61" s="1" t="str">
        <f>UPPER(BKV_Eindbeelden[[#This Row],[Boomgrootte]])</f>
        <v>2E GROOTTE</v>
      </c>
      <c r="V61" s="1" t="s">
        <v>48</v>
      </c>
      <c r="W61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61" s="1" t="s">
        <v>48</v>
      </c>
      <c r="Y61" s="1" t="str">
        <f>IF(BKV_Eindbeelden[[#This Row],[Groeitype]]="Regulier Groeiend","REGULIER",IF(BKV_Eindbeelden[[#This Row],[Groeitype]]="Snelgroeiend","SNEL",""))</f>
        <v>SNEL</v>
      </c>
      <c r="Z61" s="1" t="str">
        <f>_xlfn.CONCAT(BKV_Eindbeelden[[#This Row],[Bibliotheeknaam]:[Naamdeel5]])</f>
        <v>SGR-BOOM_40JR_2E GROOTTE_SMAL_SNEL</v>
      </c>
    </row>
    <row r="62" spans="1:26" x14ac:dyDescent="0.25">
      <c r="A62" s="1" t="s">
        <v>42</v>
      </c>
      <c r="B62" s="1">
        <v>40</v>
      </c>
      <c r="C62" s="1" t="s">
        <v>11</v>
      </c>
      <c r="D62" s="1" t="s">
        <v>12</v>
      </c>
      <c r="E62" s="8" t="s">
        <v>44</v>
      </c>
      <c r="F62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62" t="s">
        <v>26</v>
      </c>
      <c r="H62" s="1">
        <v>150</v>
      </c>
      <c r="I62" s="1" t="s">
        <v>27</v>
      </c>
      <c r="J62" s="8">
        <v>3</v>
      </c>
      <c r="K62" s="6">
        <f>BKV_Eindbeelden[[#This Row],[Stabiliteitskluitdiameter (m)]]/2</f>
        <v>1.5</v>
      </c>
      <c r="L62" s="1">
        <v>12.5</v>
      </c>
      <c r="M62" s="1">
        <v>17.5</v>
      </c>
      <c r="N62" s="5">
        <f>IF(BKV_Eindbeelden[[#This Row],[Stabiliteitskluit Straal (m)]]&lt;0.75,0.75,BKV_Eindbeelden[[#This Row],[Stabiliteitskluit Straal (m)]])</f>
        <v>1.5</v>
      </c>
      <c r="O62" s="1" t="s">
        <v>46</v>
      </c>
      <c r="P62" s="1" t="s">
        <v>43</v>
      </c>
      <c r="Q62" s="1" t="s">
        <v>47</v>
      </c>
      <c r="R62" s="1" t="s">
        <v>48</v>
      </c>
      <c r="S62" s="1" t="str">
        <f>BKV_Eindbeelden[[#This Row],[Beoogde omloop]]&amp;"JR"</f>
        <v>40JR</v>
      </c>
      <c r="T62" s="1" t="s">
        <v>48</v>
      </c>
      <c r="U62" s="1" t="str">
        <f>UPPER(BKV_Eindbeelden[[#This Row],[Boomgrootte]])</f>
        <v>3E GROOTTE</v>
      </c>
      <c r="V62" s="1" t="s">
        <v>48</v>
      </c>
      <c r="W62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62" s="1" t="s">
        <v>48</v>
      </c>
      <c r="Y62" s="1" t="str">
        <f>IF(BKV_Eindbeelden[[#This Row],[Groeitype]]="Regulier Groeiend","REGULIER",IF(BKV_Eindbeelden[[#This Row],[Groeitype]]="Snelgroeiend","SNEL",""))</f>
        <v>REGULIER</v>
      </c>
      <c r="Z62" s="1" t="str">
        <f>_xlfn.CONCAT(BKV_Eindbeelden[[#This Row],[Bibliotheeknaam]:[Naamdeel5]])</f>
        <v>SGR-BOOM_40JR_3E GROOTTE_BREED_REGULIER</v>
      </c>
    </row>
    <row r="63" spans="1:26" x14ac:dyDescent="0.25">
      <c r="A63" s="1" t="s">
        <v>42</v>
      </c>
      <c r="B63" s="1">
        <v>40</v>
      </c>
      <c r="C63" s="1" t="s">
        <v>11</v>
      </c>
      <c r="D63" s="1" t="s">
        <v>24</v>
      </c>
      <c r="E63" s="8" t="s">
        <v>34</v>
      </c>
      <c r="F63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63" t="s">
        <v>40</v>
      </c>
      <c r="H63" s="1">
        <v>75</v>
      </c>
      <c r="I63" s="1" t="s">
        <v>43</v>
      </c>
      <c r="J63" s="8">
        <v>2.5</v>
      </c>
      <c r="K63" s="6">
        <f>BKV_Eindbeelden[[#This Row],[Stabiliteitskluitdiameter (m)]]/2</f>
        <v>1.25</v>
      </c>
      <c r="L63" s="1">
        <v>7.5</v>
      </c>
      <c r="M63" s="1">
        <v>12.5</v>
      </c>
      <c r="N63" s="5">
        <f>IF(BKV_Eindbeelden[[#This Row],[Stabiliteitskluit Straal (m)]]&lt;0.75,0.75,BKV_Eindbeelden[[#This Row],[Stabiliteitskluit Straal (m)]])</f>
        <v>1.25</v>
      </c>
      <c r="O63" s="1" t="s">
        <v>46</v>
      </c>
      <c r="P63" s="1" t="s">
        <v>43</v>
      </c>
      <c r="Q63" s="1" t="s">
        <v>47</v>
      </c>
      <c r="R63" s="1" t="s">
        <v>48</v>
      </c>
      <c r="S63" s="1" t="str">
        <f>BKV_Eindbeelden[[#This Row],[Beoogde omloop]]&amp;"JR"</f>
        <v>40JR</v>
      </c>
      <c r="T63" s="1" t="s">
        <v>48</v>
      </c>
      <c r="U63" s="1" t="str">
        <f>UPPER(BKV_Eindbeelden[[#This Row],[Boomgrootte]])</f>
        <v>3E GROOTTE</v>
      </c>
      <c r="V63" s="1" t="s">
        <v>48</v>
      </c>
      <c r="W63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63" s="1" t="s">
        <v>48</v>
      </c>
      <c r="Y63" s="1" t="str">
        <f>IF(BKV_Eindbeelden[[#This Row],[Groeitype]]="Regulier Groeiend","REGULIER",IF(BKV_Eindbeelden[[#This Row],[Groeitype]]="Snelgroeiend","SNEL",""))</f>
        <v>REGULIER</v>
      </c>
      <c r="Z63" s="1" t="str">
        <f>_xlfn.CONCAT(BKV_Eindbeelden[[#This Row],[Bibliotheeknaam]:[Naamdeel5]])</f>
        <v>SGR-BOOM_40JR_3E GROOTTE_NORMAAL_REGULIER</v>
      </c>
    </row>
    <row r="64" spans="1:26" x14ac:dyDescent="0.25">
      <c r="A64" s="1" t="s">
        <v>42</v>
      </c>
      <c r="B64" s="1">
        <v>40</v>
      </c>
      <c r="C64" s="1" t="s">
        <v>11</v>
      </c>
      <c r="D64" s="1" t="s">
        <v>31</v>
      </c>
      <c r="E64" s="8" t="s">
        <v>32</v>
      </c>
      <c r="F64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2</v>
      </c>
      <c r="G64" t="s">
        <v>40</v>
      </c>
      <c r="H64" s="1">
        <v>20</v>
      </c>
      <c r="I64" s="1" t="s">
        <v>43</v>
      </c>
      <c r="J64" s="8">
        <v>2</v>
      </c>
      <c r="K64" s="6">
        <f>BKV_Eindbeelden[[#This Row],[Stabiliteitskluitdiameter (m)]]/2</f>
        <v>1</v>
      </c>
      <c r="L64" s="1">
        <v>3.5</v>
      </c>
      <c r="M64" s="1">
        <v>7.5</v>
      </c>
      <c r="N64" s="5">
        <f>IF(BKV_Eindbeelden[[#This Row],[Stabiliteitskluit Straal (m)]]&lt;0.75,0.75,BKV_Eindbeelden[[#This Row],[Stabiliteitskluit Straal (m)]])</f>
        <v>1</v>
      </c>
      <c r="O64" s="1" t="s">
        <v>46</v>
      </c>
      <c r="P64" s="1" t="s">
        <v>43</v>
      </c>
      <c r="Q64" s="1" t="s">
        <v>47</v>
      </c>
      <c r="R64" s="1" t="s">
        <v>48</v>
      </c>
      <c r="S64" s="1" t="str">
        <f>BKV_Eindbeelden[[#This Row],[Beoogde omloop]]&amp;"JR"</f>
        <v>40JR</v>
      </c>
      <c r="T64" s="1" t="s">
        <v>48</v>
      </c>
      <c r="U64" s="1" t="str">
        <f>UPPER(BKV_Eindbeelden[[#This Row],[Boomgrootte]])</f>
        <v>3E GROOTTE</v>
      </c>
      <c r="V64" s="1" t="s">
        <v>48</v>
      </c>
      <c r="W64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64" s="1" t="s">
        <v>48</v>
      </c>
      <c r="Y64" s="1" t="str">
        <f>IF(BKV_Eindbeelden[[#This Row],[Groeitype]]="Regulier Groeiend","REGULIER",IF(BKV_Eindbeelden[[#This Row],[Groeitype]]="Snelgroeiend","SNEL",""))</f>
        <v>REGULIER</v>
      </c>
      <c r="Z64" s="1" t="str">
        <f>_xlfn.CONCAT(BKV_Eindbeelden[[#This Row],[Bibliotheeknaam]:[Naamdeel5]])</f>
        <v>SGR-BOOM_40JR_3E GROOTTE_SMAL_REGULIER</v>
      </c>
    </row>
    <row r="65" spans="1:26" x14ac:dyDescent="0.25">
      <c r="A65" s="1" t="s">
        <v>64</v>
      </c>
      <c r="B65" s="1">
        <v>40</v>
      </c>
      <c r="C65" s="1" t="s">
        <v>11</v>
      </c>
      <c r="D65" s="1" t="s">
        <v>12</v>
      </c>
      <c r="E65" s="16" t="s">
        <v>66</v>
      </c>
      <c r="F65" s="12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</v>
      </c>
      <c r="G65" t="s">
        <v>40</v>
      </c>
      <c r="H65" s="1">
        <v>50</v>
      </c>
      <c r="I65" s="1" t="s">
        <v>43</v>
      </c>
      <c r="J65" s="16">
        <v>2.5</v>
      </c>
      <c r="K65" s="13">
        <f>BKV_Eindbeelden[[#This Row],[Stabiliteitskluitdiameter (m)]]/2</f>
        <v>1.25</v>
      </c>
      <c r="L65" s="1">
        <v>5</v>
      </c>
      <c r="M65" s="1">
        <v>10</v>
      </c>
      <c r="N65" s="14">
        <f>IF(BKV_Eindbeelden[[#This Row],[Stabiliteitskluit Straal (m)]]&lt;0.75,0.75,BKV_Eindbeelden[[#This Row],[Stabiliteitskluit Straal (m)]])</f>
        <v>1.25</v>
      </c>
      <c r="O65" s="1" t="s">
        <v>46</v>
      </c>
      <c r="P65" s="1" t="s">
        <v>43</v>
      </c>
      <c r="Q65" s="1" t="s">
        <v>47</v>
      </c>
      <c r="R65" s="1" t="s">
        <v>48</v>
      </c>
      <c r="S65" s="1" t="str">
        <f>BKV_Eindbeelden[[#This Row],[Beoogde omloop]]&amp;"JR"</f>
        <v>40JR</v>
      </c>
      <c r="T65" s="1" t="s">
        <v>48</v>
      </c>
      <c r="U65" s="1" t="str">
        <f>UPPER(BKV_Eindbeelden[[#This Row],[Boomgrootte]])</f>
        <v>VORMBOOM</v>
      </c>
      <c r="V65" s="1" t="s">
        <v>48</v>
      </c>
      <c r="W65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65" s="1" t="s">
        <v>48</v>
      </c>
      <c r="Y65" s="1" t="str">
        <f>IF(BKV_Eindbeelden[[#This Row],[Groeitype]]="Regulier Groeiend","REGULIER",IF(BKV_Eindbeelden[[#This Row],[Groeitype]]="Snelgroeiend","SNEL",""))</f>
        <v>REGULIER</v>
      </c>
      <c r="Z65" s="1" t="str">
        <f>_xlfn.CONCAT(BKV_Eindbeelden[[#This Row],[Bibliotheeknaam]:[Naamdeel5]])</f>
        <v>SGR-BOOM_40JR_VORMBOOM_BREED_REGULIER</v>
      </c>
    </row>
    <row r="66" spans="1:26" x14ac:dyDescent="0.25">
      <c r="A66" s="1" t="s">
        <v>64</v>
      </c>
      <c r="B66" s="1">
        <v>40</v>
      </c>
      <c r="C66" s="1" t="s">
        <v>16</v>
      </c>
      <c r="D66" s="1" t="s">
        <v>12</v>
      </c>
      <c r="E66" s="16" t="s">
        <v>67</v>
      </c>
      <c r="F66" s="12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3.5</v>
      </c>
      <c r="G66" t="s">
        <v>40</v>
      </c>
      <c r="H66" s="1">
        <v>70</v>
      </c>
      <c r="I66" s="1" t="s">
        <v>43</v>
      </c>
      <c r="J66" s="16">
        <v>3</v>
      </c>
      <c r="K66" s="13">
        <f>BKV_Eindbeelden[[#This Row],[Stabiliteitskluitdiameter (m)]]/2</f>
        <v>1.5</v>
      </c>
      <c r="L66" s="1">
        <v>7.5</v>
      </c>
      <c r="M66" s="1">
        <v>12.5</v>
      </c>
      <c r="N66" s="14">
        <f>IF(BKV_Eindbeelden[[#This Row],[Stabiliteitskluit Straal (m)]]&lt;0.75,0.75,BKV_Eindbeelden[[#This Row],[Stabiliteitskluit Straal (m)]])</f>
        <v>1.5</v>
      </c>
      <c r="O66" s="1" t="s">
        <v>46</v>
      </c>
      <c r="P66" s="1" t="s">
        <v>43</v>
      </c>
      <c r="Q66" s="1" t="s">
        <v>47</v>
      </c>
      <c r="R66" s="1" t="s">
        <v>48</v>
      </c>
      <c r="S66" s="1" t="str">
        <f>BKV_Eindbeelden[[#This Row],[Beoogde omloop]]&amp;"JR"</f>
        <v>40JR</v>
      </c>
      <c r="T66" s="1" t="s">
        <v>48</v>
      </c>
      <c r="U66" s="1" t="str">
        <f>UPPER(BKV_Eindbeelden[[#This Row],[Boomgrootte]])</f>
        <v>VORMBOOM</v>
      </c>
      <c r="V66" s="1" t="s">
        <v>48</v>
      </c>
      <c r="W66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66" s="1" t="s">
        <v>48</v>
      </c>
      <c r="Y66" s="1" t="str">
        <f>IF(BKV_Eindbeelden[[#This Row],[Groeitype]]="Regulier Groeiend","REGULIER",IF(BKV_Eindbeelden[[#This Row],[Groeitype]]="Snelgroeiend","SNEL",""))</f>
        <v>SNEL</v>
      </c>
      <c r="Z66" s="1" t="str">
        <f>_xlfn.CONCAT(BKV_Eindbeelden[[#This Row],[Bibliotheeknaam]:[Naamdeel5]])</f>
        <v>SGR-BOOM_40JR_VORMBOOM_BREED_SNEL</v>
      </c>
    </row>
    <row r="67" spans="1:26" x14ac:dyDescent="0.25">
      <c r="A67" s="1" t="s">
        <v>64</v>
      </c>
      <c r="B67" s="1">
        <v>40</v>
      </c>
      <c r="C67" s="1" t="s">
        <v>11</v>
      </c>
      <c r="D67" s="1" t="s">
        <v>24</v>
      </c>
      <c r="E67" s="8" t="s">
        <v>65</v>
      </c>
      <c r="F67" s="12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2</v>
      </c>
      <c r="G67" t="s">
        <v>40</v>
      </c>
      <c r="H67" s="1">
        <v>20</v>
      </c>
      <c r="I67" s="1" t="s">
        <v>43</v>
      </c>
      <c r="J67" s="8">
        <v>2</v>
      </c>
      <c r="K67" s="13">
        <f>BKV_Eindbeelden[[#This Row],[Stabiliteitskluitdiameter (m)]]/2</f>
        <v>1</v>
      </c>
      <c r="L67" s="1">
        <v>3.5</v>
      </c>
      <c r="M67" s="1">
        <v>7.5</v>
      </c>
      <c r="N67" s="14">
        <f>IF(BKV_Eindbeelden[[#This Row],[Stabiliteitskluit Straal (m)]]&lt;0.75,0.75,BKV_Eindbeelden[[#This Row],[Stabiliteitskluit Straal (m)]])</f>
        <v>1</v>
      </c>
      <c r="O67" s="1" t="s">
        <v>46</v>
      </c>
      <c r="P67" s="1" t="s">
        <v>43</v>
      </c>
      <c r="Q67" s="1" t="s">
        <v>47</v>
      </c>
      <c r="R67" s="1" t="s">
        <v>48</v>
      </c>
      <c r="S67" s="1" t="str">
        <f>BKV_Eindbeelden[[#This Row],[Beoogde omloop]]&amp;"JR"</f>
        <v>40JR</v>
      </c>
      <c r="T67" s="1" t="s">
        <v>48</v>
      </c>
      <c r="U67" s="1" t="str">
        <f>UPPER(BKV_Eindbeelden[[#This Row],[Boomgrootte]])</f>
        <v>VORMBOOM</v>
      </c>
      <c r="V67" s="1" t="s">
        <v>48</v>
      </c>
      <c r="W67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67" s="1" t="s">
        <v>48</v>
      </c>
      <c r="Y67" s="1" t="str">
        <f>IF(BKV_Eindbeelden[[#This Row],[Groeitype]]="Regulier Groeiend","REGULIER",IF(BKV_Eindbeelden[[#This Row],[Groeitype]]="Snelgroeiend","SNEL",""))</f>
        <v>REGULIER</v>
      </c>
      <c r="Z67" s="1" t="str">
        <f>_xlfn.CONCAT(BKV_Eindbeelden[[#This Row],[Bibliotheeknaam]:[Naamdeel5]])</f>
        <v>SGR-BOOM_40JR_VORMBOOM_NORMAAL_REGULIER</v>
      </c>
    </row>
    <row r="68" spans="1:26" x14ac:dyDescent="0.25">
      <c r="A68" s="1" t="s">
        <v>64</v>
      </c>
      <c r="B68" s="1">
        <v>40</v>
      </c>
      <c r="C68" s="1" t="s">
        <v>16</v>
      </c>
      <c r="D68" s="1" t="s">
        <v>24</v>
      </c>
      <c r="E68" s="16" t="s">
        <v>70</v>
      </c>
      <c r="F68" s="15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2.5</v>
      </c>
      <c r="G68" t="s">
        <v>40</v>
      </c>
      <c r="H68" s="1">
        <v>50</v>
      </c>
      <c r="I68" s="1" t="s">
        <v>43</v>
      </c>
      <c r="J68" s="16">
        <v>2.5</v>
      </c>
      <c r="K68" s="17">
        <f>BKV_Eindbeelden[[#This Row],[Stabiliteitskluitdiameter (m)]]/2</f>
        <v>1.25</v>
      </c>
      <c r="L68" s="1">
        <v>5</v>
      </c>
      <c r="M68" s="1">
        <v>10</v>
      </c>
      <c r="N68" s="18">
        <f>IF(BKV_Eindbeelden[[#This Row],[Stabiliteitskluit Straal (m)]]&lt;0.75,0.75,BKV_Eindbeelden[[#This Row],[Stabiliteitskluit Straal (m)]])</f>
        <v>1.25</v>
      </c>
      <c r="O68" s="1" t="s">
        <v>46</v>
      </c>
      <c r="P68" s="1" t="s">
        <v>43</v>
      </c>
      <c r="Q68" s="1" t="s">
        <v>47</v>
      </c>
      <c r="R68" s="1" t="s">
        <v>48</v>
      </c>
      <c r="S68" s="1" t="str">
        <f>BKV_Eindbeelden[[#This Row],[Beoogde omloop]]&amp;"JR"</f>
        <v>40JR</v>
      </c>
      <c r="T68" s="1" t="s">
        <v>48</v>
      </c>
      <c r="U68" s="1" t="str">
        <f>UPPER(BKV_Eindbeelden[[#This Row],[Boomgrootte]])</f>
        <v>VORMBOOM</v>
      </c>
      <c r="V68" s="1" t="s">
        <v>48</v>
      </c>
      <c r="W68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68" s="1" t="s">
        <v>48</v>
      </c>
      <c r="Y68" s="1" t="str">
        <f>IF(BKV_Eindbeelden[[#This Row],[Groeitype]]="Regulier Groeiend","REGULIER",IF(BKV_Eindbeelden[[#This Row],[Groeitype]]="Snelgroeiend","SNEL",""))</f>
        <v>SNEL</v>
      </c>
      <c r="Z68" s="1" t="str">
        <f>_xlfn.CONCAT(BKV_Eindbeelden[[#This Row],[Bibliotheeknaam]:[Naamdeel5]])</f>
        <v>SGR-BOOM_40JR_VORMBOOM_NORMAAL_SNEL</v>
      </c>
    </row>
    <row r="69" spans="1:26" x14ac:dyDescent="0.25">
      <c r="A69" s="1" t="s">
        <v>64</v>
      </c>
      <c r="B69" s="1">
        <v>40</v>
      </c>
      <c r="C69" s="1" t="s">
        <v>11</v>
      </c>
      <c r="D69" s="1" t="s">
        <v>31</v>
      </c>
      <c r="E69" s="8" t="s">
        <v>68</v>
      </c>
      <c r="F69" s="15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1.5</v>
      </c>
      <c r="G69" t="s">
        <v>40</v>
      </c>
      <c r="H69" s="1">
        <v>12</v>
      </c>
      <c r="I69" s="1" t="s">
        <v>43</v>
      </c>
      <c r="J69" s="8">
        <v>2</v>
      </c>
      <c r="K69" s="17">
        <f>BKV_Eindbeelden[[#This Row],[Stabiliteitskluitdiameter (m)]]/2</f>
        <v>1</v>
      </c>
      <c r="L69" s="1">
        <v>2.5</v>
      </c>
      <c r="M69" s="1">
        <v>5</v>
      </c>
      <c r="N69" s="18">
        <f>IF(BKV_Eindbeelden[[#This Row],[Stabiliteitskluit Straal (m)]]&lt;0.75,0.75,BKV_Eindbeelden[[#This Row],[Stabiliteitskluit Straal (m)]])</f>
        <v>1</v>
      </c>
      <c r="O69" s="1" t="s">
        <v>46</v>
      </c>
      <c r="P69" s="1" t="s">
        <v>43</v>
      </c>
      <c r="Q69" s="1" t="s">
        <v>47</v>
      </c>
      <c r="R69" s="1" t="s">
        <v>48</v>
      </c>
      <c r="S69" s="1" t="str">
        <f>BKV_Eindbeelden[[#This Row],[Beoogde omloop]]&amp;"JR"</f>
        <v>40JR</v>
      </c>
      <c r="T69" s="1" t="s">
        <v>48</v>
      </c>
      <c r="U69" s="1" t="str">
        <f>UPPER(BKV_Eindbeelden[[#This Row],[Boomgrootte]])</f>
        <v>VORMBOOM</v>
      </c>
      <c r="V69" s="1" t="s">
        <v>48</v>
      </c>
      <c r="W69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69" s="1" t="s">
        <v>48</v>
      </c>
      <c r="Y69" s="1" t="str">
        <f>IF(BKV_Eindbeelden[[#This Row],[Groeitype]]="Regulier Groeiend","REGULIER",IF(BKV_Eindbeelden[[#This Row],[Groeitype]]="Snelgroeiend","SNEL",""))</f>
        <v>REGULIER</v>
      </c>
      <c r="Z69" s="1" t="str">
        <f>_xlfn.CONCAT(BKV_Eindbeelden[[#This Row],[Bibliotheeknaam]:[Naamdeel5]])</f>
        <v>SGR-BOOM_40JR_VORMBOOM_SMAL_REGULIER</v>
      </c>
    </row>
    <row r="70" spans="1:26" x14ac:dyDescent="0.25">
      <c r="A70" s="1" t="s">
        <v>64</v>
      </c>
      <c r="B70" s="1">
        <v>40</v>
      </c>
      <c r="C70" s="1" t="s">
        <v>16</v>
      </c>
      <c r="D70" s="1" t="s">
        <v>31</v>
      </c>
      <c r="E70" s="16" t="s">
        <v>65</v>
      </c>
      <c r="F70" s="15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2</v>
      </c>
      <c r="G70" t="s">
        <v>40</v>
      </c>
      <c r="H70" s="1">
        <v>20</v>
      </c>
      <c r="I70" s="1" t="s">
        <v>43</v>
      </c>
      <c r="J70" s="16">
        <v>2</v>
      </c>
      <c r="K70" s="17">
        <f>BKV_Eindbeelden[[#This Row],[Stabiliteitskluitdiameter (m)]]/2</f>
        <v>1</v>
      </c>
      <c r="L70" s="1">
        <v>3.5</v>
      </c>
      <c r="M70" s="1">
        <v>7.5</v>
      </c>
      <c r="N70" s="18">
        <f>IF(BKV_Eindbeelden[[#This Row],[Stabiliteitskluit Straal (m)]]&lt;0.75,0.75,BKV_Eindbeelden[[#This Row],[Stabiliteitskluit Straal (m)]])</f>
        <v>1</v>
      </c>
      <c r="O70" s="1" t="s">
        <v>46</v>
      </c>
      <c r="P70" s="1" t="s">
        <v>43</v>
      </c>
      <c r="Q70" s="1" t="s">
        <v>47</v>
      </c>
      <c r="R70" s="1" t="s">
        <v>48</v>
      </c>
      <c r="S70" s="1" t="str">
        <f>BKV_Eindbeelden[[#This Row],[Beoogde omloop]]&amp;"JR"</f>
        <v>40JR</v>
      </c>
      <c r="T70" s="1" t="s">
        <v>48</v>
      </c>
      <c r="U70" s="1" t="str">
        <f>UPPER(BKV_Eindbeelden[[#This Row],[Boomgrootte]])</f>
        <v>VORMBOOM</v>
      </c>
      <c r="V70" s="1" t="s">
        <v>48</v>
      </c>
      <c r="W70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70" s="1" t="s">
        <v>48</v>
      </c>
      <c r="Y70" s="1" t="str">
        <f>IF(BKV_Eindbeelden[[#This Row],[Groeitype]]="Regulier Groeiend","REGULIER",IF(BKV_Eindbeelden[[#This Row],[Groeitype]]="Snelgroeiend","SNEL",""))</f>
        <v>SNEL</v>
      </c>
      <c r="Z70" s="1" t="str">
        <f>_xlfn.CONCAT(BKV_Eindbeelden[[#This Row],[Bibliotheeknaam]:[Naamdeel5]])</f>
        <v>SGR-BOOM_40JR_VORMBOOM_SMAL_SNEL</v>
      </c>
    </row>
    <row r="71" spans="1:26" x14ac:dyDescent="0.25">
      <c r="A71" s="1" t="s">
        <v>10</v>
      </c>
      <c r="B71" s="1">
        <v>60</v>
      </c>
      <c r="C71" s="1" t="s">
        <v>11</v>
      </c>
      <c r="D71" s="1" t="s">
        <v>12</v>
      </c>
      <c r="E71" s="8" t="s">
        <v>20</v>
      </c>
      <c r="F71" s="19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11.25</v>
      </c>
      <c r="G71" t="s">
        <v>18</v>
      </c>
      <c r="H71" s="1">
        <v>4000</v>
      </c>
      <c r="I71" s="1" t="s">
        <v>21</v>
      </c>
      <c r="J71" s="8">
        <v>5</v>
      </c>
      <c r="K71" s="20">
        <f>BKV_Eindbeelden[[#This Row],[Stabiliteitskluitdiameter (m)]]/2</f>
        <v>2.5</v>
      </c>
      <c r="L71" s="1">
        <v>40</v>
      </c>
      <c r="M71" s="1">
        <v>60</v>
      </c>
      <c r="N71" s="21">
        <f>IF(BKV_Eindbeelden[[#This Row],[Stabiliteitskluit Straal (m)]]&lt;0.75,0.75,BKV_Eindbeelden[[#This Row],[Stabiliteitskluit Straal (m)]])</f>
        <v>2.5</v>
      </c>
      <c r="O71" s="1" t="s">
        <v>46</v>
      </c>
      <c r="P71" s="1" t="s">
        <v>43</v>
      </c>
      <c r="Q71" s="1" t="s">
        <v>47</v>
      </c>
      <c r="R71" s="1" t="s">
        <v>48</v>
      </c>
      <c r="S71" s="1" t="str">
        <f>BKV_Eindbeelden[[#This Row],[Beoogde omloop]]&amp;"JR"</f>
        <v>60JR</v>
      </c>
      <c r="T71" s="1" t="s">
        <v>48</v>
      </c>
      <c r="U71" s="1" t="str">
        <f>UPPER(BKV_Eindbeelden[[#This Row],[Boomgrootte]])</f>
        <v>1E GROOTTE</v>
      </c>
      <c r="V71" s="1" t="s">
        <v>48</v>
      </c>
      <c r="W71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71" s="1" t="s">
        <v>48</v>
      </c>
      <c r="Y71" s="1" t="str">
        <f>IF(BKV_Eindbeelden[[#This Row],[Groeitype]]="Regulier Groeiend","REGULIER",IF(BKV_Eindbeelden[[#This Row],[Groeitype]]="Snelgroeiend","SNEL",""))</f>
        <v>REGULIER</v>
      </c>
      <c r="Z71" s="1" t="str">
        <f>_xlfn.CONCAT(BKV_Eindbeelden[[#This Row],[Bibliotheeknaam]:[Naamdeel5]])</f>
        <v>SGR-BOOM_60JR_1E GROOTTE_BREED_REGULIER</v>
      </c>
    </row>
    <row r="72" spans="1:26" x14ac:dyDescent="0.25">
      <c r="A72" s="1" t="s">
        <v>10</v>
      </c>
      <c r="B72" s="1">
        <v>60</v>
      </c>
      <c r="C72" s="1" t="s">
        <v>11</v>
      </c>
      <c r="D72" s="1" t="s">
        <v>24</v>
      </c>
      <c r="E72" s="8" t="s">
        <v>17</v>
      </c>
      <c r="F72" s="19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8.75</v>
      </c>
      <c r="G72" t="s">
        <v>18</v>
      </c>
      <c r="H72" s="1">
        <v>2400</v>
      </c>
      <c r="I72" s="1" t="s">
        <v>19</v>
      </c>
      <c r="J72" s="8">
        <v>4.5</v>
      </c>
      <c r="K72" s="20">
        <f>BKV_Eindbeelden[[#This Row],[Stabiliteitskluitdiameter (m)]]/2</f>
        <v>2.25</v>
      </c>
      <c r="L72" s="1">
        <v>30</v>
      </c>
      <c r="M72" s="1">
        <v>50</v>
      </c>
      <c r="N72" s="21">
        <f>IF(BKV_Eindbeelden[[#This Row],[Stabiliteitskluit Straal (m)]]&lt;0.75,0.75,BKV_Eindbeelden[[#This Row],[Stabiliteitskluit Straal (m)]])</f>
        <v>2.25</v>
      </c>
      <c r="O72" s="1" t="s">
        <v>46</v>
      </c>
      <c r="P72" s="1" t="s">
        <v>43</v>
      </c>
      <c r="Q72" s="1" t="s">
        <v>47</v>
      </c>
      <c r="R72" s="1" t="s">
        <v>48</v>
      </c>
      <c r="S72" s="1" t="str">
        <f>BKV_Eindbeelden[[#This Row],[Beoogde omloop]]&amp;"JR"</f>
        <v>60JR</v>
      </c>
      <c r="T72" s="1" t="s">
        <v>48</v>
      </c>
      <c r="U72" s="1" t="str">
        <f>UPPER(BKV_Eindbeelden[[#This Row],[Boomgrootte]])</f>
        <v>1E GROOTTE</v>
      </c>
      <c r="V72" s="1" t="s">
        <v>48</v>
      </c>
      <c r="W72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72" s="1" t="s">
        <v>48</v>
      </c>
      <c r="Y72" s="1" t="str">
        <f>IF(BKV_Eindbeelden[[#This Row],[Groeitype]]="Regulier Groeiend","REGULIER",IF(BKV_Eindbeelden[[#This Row],[Groeitype]]="Snelgroeiend","SNEL",""))</f>
        <v>REGULIER</v>
      </c>
      <c r="Z72" s="1" t="str">
        <f>_xlfn.CONCAT(BKV_Eindbeelden[[#This Row],[Bibliotheeknaam]:[Naamdeel5]])</f>
        <v>SGR-BOOM_60JR_1E GROOTTE_NORMAAL_REGULIER</v>
      </c>
    </row>
    <row r="73" spans="1:26" x14ac:dyDescent="0.25">
      <c r="A73" s="1" t="s">
        <v>10</v>
      </c>
      <c r="B73" s="1">
        <v>60</v>
      </c>
      <c r="C73" s="1" t="s">
        <v>11</v>
      </c>
      <c r="D73" s="1" t="s">
        <v>31</v>
      </c>
      <c r="E73" s="8" t="s">
        <v>36</v>
      </c>
      <c r="F73" s="19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73" t="s">
        <v>18</v>
      </c>
      <c r="H73" s="1">
        <v>450</v>
      </c>
      <c r="I73" s="1" t="s">
        <v>35</v>
      </c>
      <c r="J73" s="8">
        <v>3.5</v>
      </c>
      <c r="K73" s="20">
        <f>BKV_Eindbeelden[[#This Row],[Stabiliteitskluitdiameter (m)]]/2</f>
        <v>1.75</v>
      </c>
      <c r="L73" s="1">
        <v>17.5</v>
      </c>
      <c r="M73" s="1">
        <v>25</v>
      </c>
      <c r="N73" s="21">
        <f>IF(BKV_Eindbeelden[[#This Row],[Stabiliteitskluit Straal (m)]]&lt;0.75,0.75,BKV_Eindbeelden[[#This Row],[Stabiliteitskluit Straal (m)]])</f>
        <v>1.75</v>
      </c>
      <c r="O73" s="1" t="s">
        <v>46</v>
      </c>
      <c r="P73" s="1" t="s">
        <v>43</v>
      </c>
      <c r="Q73" s="1" t="s">
        <v>47</v>
      </c>
      <c r="R73" s="1" t="s">
        <v>48</v>
      </c>
      <c r="S73" s="1" t="str">
        <f>BKV_Eindbeelden[[#This Row],[Beoogde omloop]]&amp;"JR"</f>
        <v>60JR</v>
      </c>
      <c r="T73" s="1" t="s">
        <v>48</v>
      </c>
      <c r="U73" s="1" t="str">
        <f>UPPER(BKV_Eindbeelden[[#This Row],[Boomgrootte]])</f>
        <v>1E GROOTTE</v>
      </c>
      <c r="V73" s="1" t="s">
        <v>48</v>
      </c>
      <c r="W73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73" s="1" t="s">
        <v>48</v>
      </c>
      <c r="Y73" s="1" t="str">
        <f>IF(BKV_Eindbeelden[[#This Row],[Groeitype]]="Regulier Groeiend","REGULIER",IF(BKV_Eindbeelden[[#This Row],[Groeitype]]="Snelgroeiend","SNEL",""))</f>
        <v>REGULIER</v>
      </c>
      <c r="Z73" s="1" t="str">
        <f>_xlfn.CONCAT(BKV_Eindbeelden[[#This Row],[Bibliotheeknaam]:[Naamdeel5]])</f>
        <v>SGR-BOOM_60JR_1E GROOTTE_SMAL_REGULIER</v>
      </c>
    </row>
    <row r="74" spans="1:26" x14ac:dyDescent="0.25">
      <c r="A74" s="1" t="s">
        <v>38</v>
      </c>
      <c r="B74" s="1">
        <v>60</v>
      </c>
      <c r="C74" s="1" t="s">
        <v>11</v>
      </c>
      <c r="D74" s="1" t="s">
        <v>12</v>
      </c>
      <c r="E74" s="8" t="s">
        <v>17</v>
      </c>
      <c r="F74" s="19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8.75</v>
      </c>
      <c r="G74" t="s">
        <v>26</v>
      </c>
      <c r="H74" s="1">
        <v>800</v>
      </c>
      <c r="I74" s="1" t="s">
        <v>15</v>
      </c>
      <c r="J74" s="8">
        <v>4</v>
      </c>
      <c r="K74" s="20">
        <f>BKV_Eindbeelden[[#This Row],[Stabiliteitskluitdiameter (m)]]/2</f>
        <v>2</v>
      </c>
      <c r="L74" s="1">
        <v>20</v>
      </c>
      <c r="M74" s="1">
        <v>30</v>
      </c>
      <c r="N74" s="21">
        <f>IF(BKV_Eindbeelden[[#This Row],[Stabiliteitskluit Straal (m)]]&lt;0.75,0.75,BKV_Eindbeelden[[#This Row],[Stabiliteitskluit Straal (m)]])</f>
        <v>2</v>
      </c>
      <c r="O74" s="1" t="s">
        <v>46</v>
      </c>
      <c r="P74" s="1" t="s">
        <v>43</v>
      </c>
      <c r="Q74" s="1" t="s">
        <v>47</v>
      </c>
      <c r="R74" s="1" t="s">
        <v>48</v>
      </c>
      <c r="S74" s="1" t="str">
        <f>BKV_Eindbeelden[[#This Row],[Beoogde omloop]]&amp;"JR"</f>
        <v>60JR</v>
      </c>
      <c r="T74" s="1" t="s">
        <v>48</v>
      </c>
      <c r="U74" s="1" t="str">
        <f>UPPER(BKV_Eindbeelden[[#This Row],[Boomgrootte]])</f>
        <v>2E GROOTTE</v>
      </c>
      <c r="V74" s="1" t="s">
        <v>48</v>
      </c>
      <c r="W74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74" s="1" t="s">
        <v>48</v>
      </c>
      <c r="Y74" s="1" t="str">
        <f>IF(BKV_Eindbeelden[[#This Row],[Groeitype]]="Regulier Groeiend","REGULIER",IF(BKV_Eindbeelden[[#This Row],[Groeitype]]="Snelgroeiend","SNEL",""))</f>
        <v>REGULIER</v>
      </c>
      <c r="Z74" s="1" t="str">
        <f>_xlfn.CONCAT(BKV_Eindbeelden[[#This Row],[Bibliotheeknaam]:[Naamdeel5]])</f>
        <v>SGR-BOOM_60JR_2E GROOTTE_BREED_REGULIER</v>
      </c>
    </row>
    <row r="75" spans="1:26" x14ac:dyDescent="0.25">
      <c r="A75" s="1" t="s">
        <v>38</v>
      </c>
      <c r="B75" s="1">
        <v>60</v>
      </c>
      <c r="C75" s="1" t="s">
        <v>11</v>
      </c>
      <c r="D75" s="1" t="s">
        <v>24</v>
      </c>
      <c r="E75" s="8" t="s">
        <v>13</v>
      </c>
      <c r="F75" s="19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6.25</v>
      </c>
      <c r="G75" t="s">
        <v>26</v>
      </c>
      <c r="H75" s="1">
        <v>415</v>
      </c>
      <c r="I75" s="1" t="s">
        <v>35</v>
      </c>
      <c r="J75" s="8">
        <v>3.5</v>
      </c>
      <c r="K75" s="20">
        <f>BKV_Eindbeelden[[#This Row],[Stabiliteitskluitdiameter (m)]]/2</f>
        <v>1.75</v>
      </c>
      <c r="L75" s="1">
        <v>17.5</v>
      </c>
      <c r="M75" s="1">
        <v>25</v>
      </c>
      <c r="N75" s="21">
        <f>IF(BKV_Eindbeelden[[#This Row],[Stabiliteitskluit Straal (m)]]&lt;0.75,0.75,BKV_Eindbeelden[[#This Row],[Stabiliteitskluit Straal (m)]])</f>
        <v>1.75</v>
      </c>
      <c r="O75" s="1" t="s">
        <v>46</v>
      </c>
      <c r="P75" s="1" t="s">
        <v>43</v>
      </c>
      <c r="Q75" s="1" t="s">
        <v>47</v>
      </c>
      <c r="R75" s="1" t="s">
        <v>48</v>
      </c>
      <c r="S75" s="1" t="str">
        <f>BKV_Eindbeelden[[#This Row],[Beoogde omloop]]&amp;"JR"</f>
        <v>60JR</v>
      </c>
      <c r="T75" s="1" t="s">
        <v>48</v>
      </c>
      <c r="U75" s="1" t="str">
        <f>UPPER(BKV_Eindbeelden[[#This Row],[Boomgrootte]])</f>
        <v>2E GROOTTE</v>
      </c>
      <c r="V75" s="1" t="s">
        <v>48</v>
      </c>
      <c r="W75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75" s="1" t="s">
        <v>48</v>
      </c>
      <c r="Y75" s="1" t="str">
        <f>IF(BKV_Eindbeelden[[#This Row],[Groeitype]]="Regulier Groeiend","REGULIER",IF(BKV_Eindbeelden[[#This Row],[Groeitype]]="Snelgroeiend","SNEL",""))</f>
        <v>REGULIER</v>
      </c>
      <c r="Z75" s="1" t="str">
        <f>_xlfn.CONCAT(BKV_Eindbeelden[[#This Row],[Bibliotheeknaam]:[Naamdeel5]])</f>
        <v>SGR-BOOM_60JR_2E GROOTTE_NORMAAL_REGULIER</v>
      </c>
    </row>
    <row r="76" spans="1:26" x14ac:dyDescent="0.25">
      <c r="A76" s="1" t="s">
        <v>38</v>
      </c>
      <c r="B76" s="1">
        <v>60</v>
      </c>
      <c r="C76" s="1" t="s">
        <v>11</v>
      </c>
      <c r="D76" s="1" t="s">
        <v>31</v>
      </c>
      <c r="E76" s="8" t="s">
        <v>34</v>
      </c>
      <c r="F76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76" t="s">
        <v>26</v>
      </c>
      <c r="H76" s="1">
        <v>150</v>
      </c>
      <c r="I76" s="1" t="s">
        <v>27</v>
      </c>
      <c r="J76" s="8">
        <v>3</v>
      </c>
      <c r="K76" s="6">
        <f>BKV_Eindbeelden[[#This Row],[Stabiliteitskluitdiameter (m)]]/2</f>
        <v>1.5</v>
      </c>
      <c r="L76" s="1">
        <v>12.5</v>
      </c>
      <c r="M76" s="1">
        <v>17.5</v>
      </c>
      <c r="N76" s="5">
        <f>IF(BKV_Eindbeelden[[#This Row],[Stabiliteitskluit Straal (m)]]&lt;0.75,0.75,BKV_Eindbeelden[[#This Row],[Stabiliteitskluit Straal (m)]])</f>
        <v>1.5</v>
      </c>
      <c r="O76" s="1" t="s">
        <v>46</v>
      </c>
      <c r="P76" s="1" t="s">
        <v>43</v>
      </c>
      <c r="Q76" s="1" t="s">
        <v>47</v>
      </c>
      <c r="R76" s="1" t="s">
        <v>48</v>
      </c>
      <c r="S76" s="1" t="str">
        <f>BKV_Eindbeelden[[#This Row],[Beoogde omloop]]&amp;"JR"</f>
        <v>60JR</v>
      </c>
      <c r="T76" s="1" t="s">
        <v>48</v>
      </c>
      <c r="U76" s="1" t="str">
        <f>UPPER(BKV_Eindbeelden[[#This Row],[Boomgrootte]])</f>
        <v>2E GROOTTE</v>
      </c>
      <c r="V76" s="1" t="s">
        <v>48</v>
      </c>
      <c r="W76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76" s="1" t="s">
        <v>48</v>
      </c>
      <c r="Y76" s="1" t="str">
        <f>IF(BKV_Eindbeelden[[#This Row],[Groeitype]]="Regulier Groeiend","REGULIER",IF(BKV_Eindbeelden[[#This Row],[Groeitype]]="Snelgroeiend","SNEL",""))</f>
        <v>REGULIER</v>
      </c>
      <c r="Z76" s="1" t="str">
        <f>_xlfn.CONCAT(BKV_Eindbeelden[[#This Row],[Bibliotheeknaam]:[Naamdeel5]])</f>
        <v>SGR-BOOM_60JR_2E GROOTTE_SMAL_REGULIER</v>
      </c>
    </row>
    <row r="77" spans="1:26" x14ac:dyDescent="0.25">
      <c r="A77" s="1" t="s">
        <v>42</v>
      </c>
      <c r="B77" s="1">
        <v>60</v>
      </c>
      <c r="C77" s="1" t="s">
        <v>11</v>
      </c>
      <c r="D77" s="1" t="s">
        <v>12</v>
      </c>
      <c r="E77" s="8" t="s">
        <v>28</v>
      </c>
      <c r="F77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6.25</v>
      </c>
      <c r="G77" t="s">
        <v>26</v>
      </c>
      <c r="H77" s="1">
        <v>415</v>
      </c>
      <c r="I77" s="1" t="s">
        <v>35</v>
      </c>
      <c r="J77" s="8">
        <v>3.5</v>
      </c>
      <c r="K77" s="6">
        <f>BKV_Eindbeelden[[#This Row],[Stabiliteitskluitdiameter (m)]]/2</f>
        <v>1.75</v>
      </c>
      <c r="L77" s="1">
        <v>17.5</v>
      </c>
      <c r="M77" s="1">
        <v>25</v>
      </c>
      <c r="N77" s="5">
        <f>IF(BKV_Eindbeelden[[#This Row],[Stabiliteitskluit Straal (m)]]&lt;0.75,0.75,BKV_Eindbeelden[[#This Row],[Stabiliteitskluit Straal (m)]])</f>
        <v>1.75</v>
      </c>
      <c r="O77" s="1" t="s">
        <v>46</v>
      </c>
      <c r="P77" s="1" t="s">
        <v>43</v>
      </c>
      <c r="Q77" s="1" t="s">
        <v>47</v>
      </c>
      <c r="R77" s="1" t="s">
        <v>48</v>
      </c>
      <c r="S77" s="1" t="str">
        <f>BKV_Eindbeelden[[#This Row],[Beoogde omloop]]&amp;"JR"</f>
        <v>60JR</v>
      </c>
      <c r="T77" s="1" t="s">
        <v>48</v>
      </c>
      <c r="U77" s="1" t="str">
        <f>UPPER(BKV_Eindbeelden[[#This Row],[Boomgrootte]])</f>
        <v>3E GROOTTE</v>
      </c>
      <c r="V77" s="1" t="s">
        <v>48</v>
      </c>
      <c r="W77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77" s="1" t="s">
        <v>48</v>
      </c>
      <c r="Y77" s="1" t="str">
        <f>IF(BKV_Eindbeelden[[#This Row],[Groeitype]]="Regulier Groeiend","REGULIER",IF(BKV_Eindbeelden[[#This Row],[Groeitype]]="Snelgroeiend","SNEL",""))</f>
        <v>REGULIER</v>
      </c>
      <c r="Z77" s="1" t="str">
        <f>_xlfn.CONCAT(BKV_Eindbeelden[[#This Row],[Bibliotheeknaam]:[Naamdeel5]])</f>
        <v>SGR-BOOM_60JR_3E GROOTTE_BREED_REGULIER</v>
      </c>
    </row>
    <row r="78" spans="1:26" x14ac:dyDescent="0.25">
      <c r="A78" s="1" t="s">
        <v>42</v>
      </c>
      <c r="B78" s="1">
        <v>60</v>
      </c>
      <c r="C78" s="1" t="s">
        <v>11</v>
      </c>
      <c r="D78" s="1" t="s">
        <v>24</v>
      </c>
      <c r="E78" s="8" t="s">
        <v>25</v>
      </c>
      <c r="F78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78" t="s">
        <v>26</v>
      </c>
      <c r="H78" s="1">
        <v>150</v>
      </c>
      <c r="I78" s="1" t="s">
        <v>27</v>
      </c>
      <c r="J78" s="8">
        <v>3</v>
      </c>
      <c r="K78" s="6">
        <f>BKV_Eindbeelden[[#This Row],[Stabiliteitskluitdiameter (m)]]/2</f>
        <v>1.5</v>
      </c>
      <c r="L78" s="1">
        <v>12.5</v>
      </c>
      <c r="M78" s="1">
        <v>17.5</v>
      </c>
      <c r="N78" s="5">
        <f>IF(BKV_Eindbeelden[[#This Row],[Stabiliteitskluit Straal (m)]]&lt;0.75,0.75,BKV_Eindbeelden[[#This Row],[Stabiliteitskluit Straal (m)]])</f>
        <v>1.5</v>
      </c>
      <c r="O78" s="1" t="s">
        <v>46</v>
      </c>
      <c r="P78" s="1" t="s">
        <v>43</v>
      </c>
      <c r="Q78" s="1" t="s">
        <v>47</v>
      </c>
      <c r="R78" s="1" t="s">
        <v>48</v>
      </c>
      <c r="S78" s="1" t="str">
        <f>BKV_Eindbeelden[[#This Row],[Beoogde omloop]]&amp;"JR"</f>
        <v>60JR</v>
      </c>
      <c r="T78" s="1" t="s">
        <v>48</v>
      </c>
      <c r="U78" s="1" t="str">
        <f>UPPER(BKV_Eindbeelden[[#This Row],[Boomgrootte]])</f>
        <v>3E GROOTTE</v>
      </c>
      <c r="V78" s="1" t="s">
        <v>48</v>
      </c>
      <c r="W78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78" s="1" t="s">
        <v>48</v>
      </c>
      <c r="Y78" s="1" t="str">
        <f>IF(BKV_Eindbeelden[[#This Row],[Groeitype]]="Regulier Groeiend","REGULIER",IF(BKV_Eindbeelden[[#This Row],[Groeitype]]="Snelgroeiend","SNEL",""))</f>
        <v>REGULIER</v>
      </c>
      <c r="Z78" s="1" t="str">
        <f>_xlfn.CONCAT(BKV_Eindbeelden[[#This Row],[Bibliotheeknaam]:[Naamdeel5]])</f>
        <v>SGR-BOOM_60JR_3E GROOTTE_NORMAAL_REGULIER</v>
      </c>
    </row>
    <row r="79" spans="1:26" x14ac:dyDescent="0.25">
      <c r="A79" s="1" t="s">
        <v>42</v>
      </c>
      <c r="B79" s="1">
        <v>60</v>
      </c>
      <c r="C79" s="1" t="s">
        <v>11</v>
      </c>
      <c r="D79" s="1" t="s">
        <v>31</v>
      </c>
      <c r="E79" s="8" t="s">
        <v>39</v>
      </c>
      <c r="F79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79" t="s">
        <v>40</v>
      </c>
      <c r="H79" s="1">
        <v>75</v>
      </c>
      <c r="I79" s="1" t="s">
        <v>43</v>
      </c>
      <c r="J79" s="8">
        <v>2.5</v>
      </c>
      <c r="K79" s="6">
        <f>BKV_Eindbeelden[[#This Row],[Stabiliteitskluitdiameter (m)]]/2</f>
        <v>1.25</v>
      </c>
      <c r="L79" s="1">
        <v>7.5</v>
      </c>
      <c r="M79" s="1">
        <v>12.5</v>
      </c>
      <c r="N79" s="5">
        <f>IF(BKV_Eindbeelden[[#This Row],[Stabiliteitskluit Straal (m)]]&lt;0.75,0.75,BKV_Eindbeelden[[#This Row],[Stabiliteitskluit Straal (m)]])</f>
        <v>1.25</v>
      </c>
      <c r="O79" s="1" t="s">
        <v>46</v>
      </c>
      <c r="P79" s="1" t="s">
        <v>43</v>
      </c>
      <c r="Q79" s="1" t="s">
        <v>47</v>
      </c>
      <c r="R79" s="1" t="s">
        <v>48</v>
      </c>
      <c r="S79" s="1" t="str">
        <f>BKV_Eindbeelden[[#This Row],[Beoogde omloop]]&amp;"JR"</f>
        <v>60JR</v>
      </c>
      <c r="T79" s="1" t="s">
        <v>48</v>
      </c>
      <c r="U79" s="1" t="str">
        <f>UPPER(BKV_Eindbeelden[[#This Row],[Boomgrootte]])</f>
        <v>3E GROOTTE</v>
      </c>
      <c r="V79" s="1" t="s">
        <v>48</v>
      </c>
      <c r="W79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79" s="1" t="s">
        <v>48</v>
      </c>
      <c r="Y79" s="1" t="str">
        <f>IF(BKV_Eindbeelden[[#This Row],[Groeitype]]="Regulier Groeiend","REGULIER",IF(BKV_Eindbeelden[[#This Row],[Groeitype]]="Snelgroeiend","SNEL",""))</f>
        <v>REGULIER</v>
      </c>
      <c r="Z79" s="1" t="str">
        <f>_xlfn.CONCAT(BKV_Eindbeelden[[#This Row],[Bibliotheeknaam]:[Naamdeel5]])</f>
        <v>SGR-BOOM_60JR_3E GROOTTE_SMAL_REGULIER</v>
      </c>
    </row>
    <row r="80" spans="1:26" x14ac:dyDescent="0.25">
      <c r="A80" s="1" t="s">
        <v>64</v>
      </c>
      <c r="B80" s="1">
        <v>60</v>
      </c>
      <c r="C80" s="1" t="s">
        <v>11</v>
      </c>
      <c r="D80" s="1" t="s">
        <v>12</v>
      </c>
      <c r="E80" s="16" t="s">
        <v>66</v>
      </c>
      <c r="F80" s="12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</v>
      </c>
      <c r="G80" t="s">
        <v>40</v>
      </c>
      <c r="H80" s="1">
        <v>50</v>
      </c>
      <c r="I80" s="1" t="s">
        <v>43</v>
      </c>
      <c r="J80" s="16">
        <v>2.5</v>
      </c>
      <c r="K80" s="13">
        <f>BKV_Eindbeelden[[#This Row],[Stabiliteitskluitdiameter (m)]]/2</f>
        <v>1.25</v>
      </c>
      <c r="L80" s="1">
        <v>5</v>
      </c>
      <c r="M80" s="1">
        <v>10</v>
      </c>
      <c r="N80" s="14">
        <f>IF(BKV_Eindbeelden[[#This Row],[Stabiliteitskluit Straal (m)]]&lt;0.75,0.75,BKV_Eindbeelden[[#This Row],[Stabiliteitskluit Straal (m)]])</f>
        <v>1.25</v>
      </c>
      <c r="O80" s="1" t="s">
        <v>46</v>
      </c>
      <c r="P80" s="1" t="s">
        <v>43</v>
      </c>
      <c r="Q80" s="1" t="s">
        <v>47</v>
      </c>
      <c r="R80" s="1" t="s">
        <v>48</v>
      </c>
      <c r="S80" s="1" t="str">
        <f>BKV_Eindbeelden[[#This Row],[Beoogde omloop]]&amp;"JR"</f>
        <v>60JR</v>
      </c>
      <c r="T80" s="1" t="s">
        <v>48</v>
      </c>
      <c r="U80" s="1" t="str">
        <f>UPPER(BKV_Eindbeelden[[#This Row],[Boomgrootte]])</f>
        <v>VORMBOOM</v>
      </c>
      <c r="V80" s="1" t="s">
        <v>48</v>
      </c>
      <c r="W80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80" s="1" t="s">
        <v>48</v>
      </c>
      <c r="Y80" s="1" t="str">
        <f>IF(BKV_Eindbeelden[[#This Row],[Groeitype]]="Regulier Groeiend","REGULIER",IF(BKV_Eindbeelden[[#This Row],[Groeitype]]="Snelgroeiend","SNEL",""))</f>
        <v>REGULIER</v>
      </c>
      <c r="Z80" s="1" t="str">
        <f>_xlfn.CONCAT(BKV_Eindbeelden[[#This Row],[Bibliotheeknaam]:[Naamdeel5]])</f>
        <v>SGR-BOOM_60JR_VORMBOOM_BREED_REGULIER</v>
      </c>
    </row>
    <row r="81" spans="1:26" x14ac:dyDescent="0.25">
      <c r="A81" s="1" t="s">
        <v>64</v>
      </c>
      <c r="B81" s="1">
        <v>60</v>
      </c>
      <c r="C81" s="1" t="s">
        <v>11</v>
      </c>
      <c r="D81" s="1" t="s">
        <v>24</v>
      </c>
      <c r="E81" s="8" t="s">
        <v>65</v>
      </c>
      <c r="F81" s="12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2</v>
      </c>
      <c r="G81" t="s">
        <v>40</v>
      </c>
      <c r="H81" s="1">
        <v>20</v>
      </c>
      <c r="I81" s="1" t="s">
        <v>43</v>
      </c>
      <c r="J81" s="8">
        <v>2</v>
      </c>
      <c r="K81" s="13">
        <f>BKV_Eindbeelden[[#This Row],[Stabiliteitskluitdiameter (m)]]/2</f>
        <v>1</v>
      </c>
      <c r="L81" s="1">
        <v>3.5</v>
      </c>
      <c r="M81" s="1">
        <v>7.5</v>
      </c>
      <c r="N81" s="14">
        <f>IF(BKV_Eindbeelden[[#This Row],[Stabiliteitskluit Straal (m)]]&lt;0.75,0.75,BKV_Eindbeelden[[#This Row],[Stabiliteitskluit Straal (m)]])</f>
        <v>1</v>
      </c>
      <c r="O81" s="1" t="s">
        <v>46</v>
      </c>
      <c r="P81" s="1" t="s">
        <v>43</v>
      </c>
      <c r="Q81" s="1" t="s">
        <v>47</v>
      </c>
      <c r="R81" s="1" t="s">
        <v>48</v>
      </c>
      <c r="S81" s="1" t="str">
        <f>BKV_Eindbeelden[[#This Row],[Beoogde omloop]]&amp;"JR"</f>
        <v>60JR</v>
      </c>
      <c r="T81" s="1" t="s">
        <v>48</v>
      </c>
      <c r="U81" s="1" t="str">
        <f>UPPER(BKV_Eindbeelden[[#This Row],[Boomgrootte]])</f>
        <v>VORMBOOM</v>
      </c>
      <c r="V81" s="1" t="s">
        <v>48</v>
      </c>
      <c r="W81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81" s="1" t="s">
        <v>48</v>
      </c>
      <c r="Y81" s="1" t="str">
        <f>IF(BKV_Eindbeelden[[#This Row],[Groeitype]]="Regulier Groeiend","REGULIER",IF(BKV_Eindbeelden[[#This Row],[Groeitype]]="Snelgroeiend","SNEL",""))</f>
        <v>REGULIER</v>
      </c>
      <c r="Z81" s="1" t="str">
        <f>_xlfn.CONCAT(BKV_Eindbeelden[[#This Row],[Bibliotheeknaam]:[Naamdeel5]])</f>
        <v>SGR-BOOM_60JR_VORMBOOM_NORMAAL_REGULIER</v>
      </c>
    </row>
    <row r="82" spans="1:26" x14ac:dyDescent="0.25">
      <c r="A82" s="1" t="s">
        <v>64</v>
      </c>
      <c r="B82" s="1">
        <v>60</v>
      </c>
      <c r="C82" s="1" t="s">
        <v>11</v>
      </c>
      <c r="D82" s="1" t="s">
        <v>31</v>
      </c>
      <c r="E82" s="8" t="s">
        <v>68</v>
      </c>
      <c r="F82" s="12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1.5</v>
      </c>
      <c r="G82" t="s">
        <v>40</v>
      </c>
      <c r="H82" s="1">
        <v>12</v>
      </c>
      <c r="I82" s="1" t="s">
        <v>43</v>
      </c>
      <c r="J82" s="8">
        <v>2</v>
      </c>
      <c r="K82" s="13">
        <f>BKV_Eindbeelden[[#This Row],[Stabiliteitskluitdiameter (m)]]/2</f>
        <v>1</v>
      </c>
      <c r="L82" s="1">
        <v>2.5</v>
      </c>
      <c r="M82" s="1">
        <v>5</v>
      </c>
      <c r="N82" s="14">
        <f>IF(BKV_Eindbeelden[[#This Row],[Stabiliteitskluit Straal (m)]]&lt;0.75,0.75,BKV_Eindbeelden[[#This Row],[Stabiliteitskluit Straal (m)]])</f>
        <v>1</v>
      </c>
      <c r="O82" s="1" t="s">
        <v>46</v>
      </c>
      <c r="P82" s="1" t="s">
        <v>43</v>
      </c>
      <c r="Q82" s="1" t="s">
        <v>47</v>
      </c>
      <c r="R82" s="1" t="s">
        <v>48</v>
      </c>
      <c r="S82" s="1" t="str">
        <f>BKV_Eindbeelden[[#This Row],[Beoogde omloop]]&amp;"JR"</f>
        <v>60JR</v>
      </c>
      <c r="T82" s="1" t="s">
        <v>48</v>
      </c>
      <c r="U82" s="1" t="str">
        <f>UPPER(BKV_Eindbeelden[[#This Row],[Boomgrootte]])</f>
        <v>VORMBOOM</v>
      </c>
      <c r="V82" s="1" t="s">
        <v>48</v>
      </c>
      <c r="W82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82" s="1" t="s">
        <v>48</v>
      </c>
      <c r="Y82" s="1" t="str">
        <f>IF(BKV_Eindbeelden[[#This Row],[Groeitype]]="Regulier Groeiend","REGULIER",IF(BKV_Eindbeelden[[#This Row],[Groeitype]]="Snelgroeiend","SNEL",""))</f>
        <v>REGULIER</v>
      </c>
      <c r="Z82" s="1" t="str">
        <f>_xlfn.CONCAT(BKV_Eindbeelden[[#This Row],[Bibliotheeknaam]:[Naamdeel5]])</f>
        <v>SGR-BOOM_60JR_VORMBOOM_SMAL_REGULIER</v>
      </c>
    </row>
    <row r="83" spans="1:26" x14ac:dyDescent="0.25">
      <c r="A83" s="1" t="s">
        <v>10</v>
      </c>
      <c r="B83" s="1">
        <v>80</v>
      </c>
      <c r="C83" s="1" t="s">
        <v>11</v>
      </c>
      <c r="D83" s="1" t="s">
        <v>12</v>
      </c>
      <c r="E83" s="8" t="s">
        <v>22</v>
      </c>
      <c r="F83" s="19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12.5</v>
      </c>
      <c r="G83" t="s">
        <v>18</v>
      </c>
      <c r="H83" s="1">
        <v>5920</v>
      </c>
      <c r="I83" s="1" t="s">
        <v>23</v>
      </c>
      <c r="J83" s="8">
        <v>5.5</v>
      </c>
      <c r="K83" s="20">
        <f>BKV_Eindbeelden[[#This Row],[Stabiliteitskluitdiameter (m)]]/2</f>
        <v>2.75</v>
      </c>
      <c r="L83" s="1">
        <v>50</v>
      </c>
      <c r="M83" s="1">
        <v>75</v>
      </c>
      <c r="N83" s="21">
        <f>IF(BKV_Eindbeelden[[#This Row],[Stabiliteitskluit Straal (m)]]&lt;0.75,0.75,BKV_Eindbeelden[[#This Row],[Stabiliteitskluit Straal (m)]])</f>
        <v>2.75</v>
      </c>
      <c r="O83" s="1" t="s">
        <v>46</v>
      </c>
      <c r="P83" s="1" t="s">
        <v>43</v>
      </c>
      <c r="Q83" s="1" t="s">
        <v>47</v>
      </c>
      <c r="R83" s="1" t="s">
        <v>48</v>
      </c>
      <c r="S83" s="1" t="str">
        <f>BKV_Eindbeelden[[#This Row],[Beoogde omloop]]&amp;"JR"</f>
        <v>80JR</v>
      </c>
      <c r="T83" s="1" t="s">
        <v>48</v>
      </c>
      <c r="U83" s="1" t="str">
        <f>UPPER(BKV_Eindbeelden[[#This Row],[Boomgrootte]])</f>
        <v>1E GROOTTE</v>
      </c>
      <c r="V83" s="1" t="s">
        <v>48</v>
      </c>
      <c r="W83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83" s="1" t="s">
        <v>48</v>
      </c>
      <c r="Y83" s="1" t="str">
        <f>IF(BKV_Eindbeelden[[#This Row],[Groeitype]]="Regulier Groeiend","REGULIER",IF(BKV_Eindbeelden[[#This Row],[Groeitype]]="Snelgroeiend","SNEL",""))</f>
        <v>REGULIER</v>
      </c>
      <c r="Z83" s="1" t="str">
        <f>_xlfn.CONCAT(BKV_Eindbeelden[[#This Row],[Bibliotheeknaam]:[Naamdeel5]])</f>
        <v>SGR-BOOM_80JR_1E GROOTTE_BREED_REGULIER</v>
      </c>
    </row>
    <row r="84" spans="1:26" x14ac:dyDescent="0.25">
      <c r="A84" s="1" t="s">
        <v>10</v>
      </c>
      <c r="B84" s="1">
        <v>80</v>
      </c>
      <c r="C84" s="1" t="s">
        <v>11</v>
      </c>
      <c r="D84" s="1" t="s">
        <v>24</v>
      </c>
      <c r="E84" s="8" t="s">
        <v>29</v>
      </c>
      <c r="F84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8.75</v>
      </c>
      <c r="G84" t="s">
        <v>30</v>
      </c>
      <c r="H84" s="1">
        <v>3360</v>
      </c>
      <c r="I84" s="1" t="s">
        <v>21</v>
      </c>
      <c r="J84" s="8">
        <v>5</v>
      </c>
      <c r="K84" s="6">
        <f>BKV_Eindbeelden[[#This Row],[Stabiliteitskluitdiameter (m)]]/2</f>
        <v>2.5</v>
      </c>
      <c r="L84" s="1">
        <v>35</v>
      </c>
      <c r="M84" s="1">
        <v>55</v>
      </c>
      <c r="N84" s="5">
        <f>IF(BKV_Eindbeelden[[#This Row],[Stabiliteitskluit Straal (m)]]&lt;0.75,0.75,BKV_Eindbeelden[[#This Row],[Stabiliteitskluit Straal (m)]])</f>
        <v>2.5</v>
      </c>
      <c r="O84" s="1" t="s">
        <v>46</v>
      </c>
      <c r="P84" s="1" t="s">
        <v>43</v>
      </c>
      <c r="Q84" s="1" t="s">
        <v>47</v>
      </c>
      <c r="R84" s="1" t="s">
        <v>48</v>
      </c>
      <c r="S84" s="1" t="str">
        <f>BKV_Eindbeelden[[#This Row],[Beoogde omloop]]&amp;"JR"</f>
        <v>80JR</v>
      </c>
      <c r="T84" s="1" t="s">
        <v>48</v>
      </c>
      <c r="U84" s="1" t="str">
        <f>UPPER(BKV_Eindbeelden[[#This Row],[Boomgrootte]])</f>
        <v>1E GROOTTE</v>
      </c>
      <c r="V84" s="1" t="s">
        <v>48</v>
      </c>
      <c r="W84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84" s="1" t="s">
        <v>48</v>
      </c>
      <c r="Y84" s="1" t="str">
        <f>IF(BKV_Eindbeelden[[#This Row],[Groeitype]]="Regulier Groeiend","REGULIER",IF(BKV_Eindbeelden[[#This Row],[Groeitype]]="Snelgroeiend","SNEL",""))</f>
        <v>REGULIER</v>
      </c>
      <c r="Z84" s="1" t="str">
        <f>_xlfn.CONCAT(BKV_Eindbeelden[[#This Row],[Bibliotheeknaam]:[Naamdeel5]])</f>
        <v>SGR-BOOM_80JR_1E GROOTTE_NORMAAL_REGULIER</v>
      </c>
    </row>
    <row r="85" spans="1:26" x14ac:dyDescent="0.25">
      <c r="A85" s="1" t="s">
        <v>10</v>
      </c>
      <c r="B85" s="1">
        <v>80</v>
      </c>
      <c r="C85" s="1" t="s">
        <v>11</v>
      </c>
      <c r="D85" s="1" t="s">
        <v>31</v>
      </c>
      <c r="E85" s="8" t="s">
        <v>37</v>
      </c>
      <c r="F85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85" t="s">
        <v>30</v>
      </c>
      <c r="H85" s="1">
        <v>620</v>
      </c>
      <c r="I85" s="1" t="s">
        <v>15</v>
      </c>
      <c r="J85" s="8">
        <v>4</v>
      </c>
      <c r="K85" s="6">
        <f>BKV_Eindbeelden[[#This Row],[Stabiliteitskluitdiameter (m)]]/2</f>
        <v>2</v>
      </c>
      <c r="L85" s="1">
        <v>20</v>
      </c>
      <c r="M85" s="1">
        <v>30</v>
      </c>
      <c r="N85" s="5">
        <f>IF(BKV_Eindbeelden[[#This Row],[Stabiliteitskluit Straal (m)]]&lt;0.75,0.75,BKV_Eindbeelden[[#This Row],[Stabiliteitskluit Straal (m)]])</f>
        <v>2</v>
      </c>
      <c r="O85" s="1" t="s">
        <v>46</v>
      </c>
      <c r="P85" s="1" t="s">
        <v>43</v>
      </c>
      <c r="Q85" s="1" t="s">
        <v>47</v>
      </c>
      <c r="R85" s="1" t="s">
        <v>48</v>
      </c>
      <c r="S85" s="1" t="str">
        <f>BKV_Eindbeelden[[#This Row],[Beoogde omloop]]&amp;"JR"</f>
        <v>80JR</v>
      </c>
      <c r="T85" s="1" t="s">
        <v>48</v>
      </c>
      <c r="U85" s="1" t="str">
        <f>UPPER(BKV_Eindbeelden[[#This Row],[Boomgrootte]])</f>
        <v>1E GROOTTE</v>
      </c>
      <c r="V85" s="1" t="s">
        <v>48</v>
      </c>
      <c r="W85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85" s="1" t="s">
        <v>48</v>
      </c>
      <c r="Y85" s="1" t="str">
        <f>IF(BKV_Eindbeelden[[#This Row],[Groeitype]]="Regulier Groeiend","REGULIER",IF(BKV_Eindbeelden[[#This Row],[Groeitype]]="Snelgroeiend","SNEL",""))</f>
        <v>REGULIER</v>
      </c>
      <c r="Z85" s="1" t="str">
        <f>_xlfn.CONCAT(BKV_Eindbeelden[[#This Row],[Bibliotheeknaam]:[Naamdeel5]])</f>
        <v>SGR-BOOM_80JR_1E GROOTTE_SMAL_REGULIER</v>
      </c>
    </row>
    <row r="86" spans="1:26" x14ac:dyDescent="0.25">
      <c r="A86" s="1" t="s">
        <v>38</v>
      </c>
      <c r="B86" s="1">
        <v>80</v>
      </c>
      <c r="C86" s="1" t="s">
        <v>11</v>
      </c>
      <c r="D86" s="1" t="s">
        <v>12</v>
      </c>
      <c r="E86" s="8" t="s">
        <v>29</v>
      </c>
      <c r="F86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8.75</v>
      </c>
      <c r="G86" t="s">
        <v>14</v>
      </c>
      <c r="H86" s="1">
        <v>1440</v>
      </c>
      <c r="I86" s="1" t="s">
        <v>19</v>
      </c>
      <c r="J86" s="8">
        <v>4.5</v>
      </c>
      <c r="K86" s="6">
        <f>BKV_Eindbeelden[[#This Row],[Stabiliteitskluitdiameter (m)]]/2</f>
        <v>2.25</v>
      </c>
      <c r="L86" s="1">
        <v>25</v>
      </c>
      <c r="M86" s="1">
        <v>40</v>
      </c>
      <c r="N86" s="5">
        <f>IF(BKV_Eindbeelden[[#This Row],[Stabiliteitskluit Straal (m)]]&lt;0.75,0.75,BKV_Eindbeelden[[#This Row],[Stabiliteitskluit Straal (m)]])</f>
        <v>2.25</v>
      </c>
      <c r="O86" s="1" t="s">
        <v>46</v>
      </c>
      <c r="P86" s="1" t="s">
        <v>43</v>
      </c>
      <c r="Q86" s="1" t="s">
        <v>47</v>
      </c>
      <c r="R86" s="1" t="s">
        <v>48</v>
      </c>
      <c r="S86" s="1" t="str">
        <f>BKV_Eindbeelden[[#This Row],[Beoogde omloop]]&amp;"JR"</f>
        <v>80JR</v>
      </c>
      <c r="T86" s="1" t="s">
        <v>48</v>
      </c>
      <c r="U86" s="1" t="str">
        <f>UPPER(BKV_Eindbeelden[[#This Row],[Boomgrootte]])</f>
        <v>2E GROOTTE</v>
      </c>
      <c r="V86" s="1" t="s">
        <v>48</v>
      </c>
      <c r="W86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86" s="1" t="s">
        <v>48</v>
      </c>
      <c r="Y86" s="1" t="str">
        <f>IF(BKV_Eindbeelden[[#This Row],[Groeitype]]="Regulier Groeiend","REGULIER",IF(BKV_Eindbeelden[[#This Row],[Groeitype]]="Snelgroeiend","SNEL",""))</f>
        <v>REGULIER</v>
      </c>
      <c r="Z86" s="1" t="str">
        <f>_xlfn.CONCAT(BKV_Eindbeelden[[#This Row],[Bibliotheeknaam]:[Naamdeel5]])</f>
        <v>SGR-BOOM_80JR_2E GROOTTE_BREED_REGULIER</v>
      </c>
    </row>
    <row r="87" spans="1:26" x14ac:dyDescent="0.25">
      <c r="A87" s="1" t="s">
        <v>38</v>
      </c>
      <c r="B87" s="1">
        <v>80</v>
      </c>
      <c r="C87" s="1" t="s">
        <v>11</v>
      </c>
      <c r="D87" s="1" t="s">
        <v>24</v>
      </c>
      <c r="E87" s="8" t="s">
        <v>28</v>
      </c>
      <c r="F87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6.25</v>
      </c>
      <c r="G87" t="s">
        <v>14</v>
      </c>
      <c r="H87" s="1">
        <v>750</v>
      </c>
      <c r="I87" s="1" t="s">
        <v>15</v>
      </c>
      <c r="J87" s="8">
        <v>4</v>
      </c>
      <c r="K87" s="6">
        <f>BKV_Eindbeelden[[#This Row],[Stabiliteitskluitdiameter (m)]]/2</f>
        <v>2</v>
      </c>
      <c r="L87" s="1">
        <v>20</v>
      </c>
      <c r="M87" s="1">
        <v>30</v>
      </c>
      <c r="N87" s="5">
        <f>IF(BKV_Eindbeelden[[#This Row],[Stabiliteitskluit Straal (m)]]&lt;0.75,0.75,BKV_Eindbeelden[[#This Row],[Stabiliteitskluit Straal (m)]])</f>
        <v>2</v>
      </c>
      <c r="O87" s="1" t="s">
        <v>46</v>
      </c>
      <c r="P87" s="1" t="s">
        <v>43</v>
      </c>
      <c r="Q87" s="1" t="s">
        <v>47</v>
      </c>
      <c r="R87" s="1" t="s">
        <v>48</v>
      </c>
      <c r="S87" s="1" t="str">
        <f>BKV_Eindbeelden[[#This Row],[Beoogde omloop]]&amp;"JR"</f>
        <v>80JR</v>
      </c>
      <c r="T87" s="1" t="s">
        <v>48</v>
      </c>
      <c r="U87" s="1" t="str">
        <f>UPPER(BKV_Eindbeelden[[#This Row],[Boomgrootte]])</f>
        <v>2E GROOTTE</v>
      </c>
      <c r="V87" s="1" t="s">
        <v>48</v>
      </c>
      <c r="W87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87" s="1" t="s">
        <v>48</v>
      </c>
      <c r="Y87" s="1" t="str">
        <f>IF(BKV_Eindbeelden[[#This Row],[Groeitype]]="Regulier Groeiend","REGULIER",IF(BKV_Eindbeelden[[#This Row],[Groeitype]]="Snelgroeiend","SNEL",""))</f>
        <v>REGULIER</v>
      </c>
      <c r="Z87" s="1" t="str">
        <f>_xlfn.CONCAT(BKV_Eindbeelden[[#This Row],[Bibliotheeknaam]:[Naamdeel5]])</f>
        <v>SGR-BOOM_80JR_2E GROOTTE_NORMAAL_REGULIER</v>
      </c>
    </row>
    <row r="88" spans="1:26" x14ac:dyDescent="0.25">
      <c r="A88" s="1" t="s">
        <v>38</v>
      </c>
      <c r="B88" s="1">
        <v>80</v>
      </c>
      <c r="C88" s="1" t="s">
        <v>11</v>
      </c>
      <c r="D88" s="1" t="s">
        <v>31</v>
      </c>
      <c r="E88" s="8" t="s">
        <v>36</v>
      </c>
      <c r="F88" s="4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3.75</v>
      </c>
      <c r="G88" t="s">
        <v>14</v>
      </c>
      <c r="H88" s="1">
        <v>270</v>
      </c>
      <c r="I88" s="1" t="s">
        <v>35</v>
      </c>
      <c r="J88" s="8">
        <v>3.5</v>
      </c>
      <c r="K88" s="6">
        <f>BKV_Eindbeelden[[#This Row],[Stabiliteitskluitdiameter (m)]]/2</f>
        <v>1.75</v>
      </c>
      <c r="L88" s="1">
        <v>15</v>
      </c>
      <c r="M88" s="1">
        <v>22.5</v>
      </c>
      <c r="N88" s="5">
        <f>IF(BKV_Eindbeelden[[#This Row],[Stabiliteitskluit Straal (m)]]&lt;0.75,0.75,BKV_Eindbeelden[[#This Row],[Stabiliteitskluit Straal (m)]])</f>
        <v>1.75</v>
      </c>
      <c r="O88" s="1" t="s">
        <v>46</v>
      </c>
      <c r="P88" s="1" t="s">
        <v>43</v>
      </c>
      <c r="Q88" s="1" t="s">
        <v>47</v>
      </c>
      <c r="R88" s="1" t="s">
        <v>48</v>
      </c>
      <c r="S88" s="1" t="str">
        <f>BKV_Eindbeelden[[#This Row],[Beoogde omloop]]&amp;"JR"</f>
        <v>80JR</v>
      </c>
      <c r="T88" s="1" t="s">
        <v>48</v>
      </c>
      <c r="U88" s="1" t="str">
        <f>UPPER(BKV_Eindbeelden[[#This Row],[Boomgrootte]])</f>
        <v>2E GROOTTE</v>
      </c>
      <c r="V88" s="1" t="s">
        <v>48</v>
      </c>
      <c r="W88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88" s="1" t="s">
        <v>48</v>
      </c>
      <c r="Y88" s="1" t="str">
        <f>IF(BKV_Eindbeelden[[#This Row],[Groeitype]]="Regulier Groeiend","REGULIER",IF(BKV_Eindbeelden[[#This Row],[Groeitype]]="Snelgroeiend","SNEL",""))</f>
        <v>REGULIER</v>
      </c>
      <c r="Z88" s="1" t="str">
        <f>_xlfn.CONCAT(BKV_Eindbeelden[[#This Row],[Bibliotheeknaam]:[Naamdeel5]])</f>
        <v>SGR-BOOM_80JR_2E GROOTTE_SMAL_REGULIER</v>
      </c>
    </row>
    <row r="89" spans="1:26" x14ac:dyDescent="0.25">
      <c r="A89" s="1" t="s">
        <v>64</v>
      </c>
      <c r="B89" s="1">
        <v>80</v>
      </c>
      <c r="C89" s="1" t="s">
        <v>11</v>
      </c>
      <c r="D89" s="1" t="s">
        <v>12</v>
      </c>
      <c r="E89" s="16" t="s">
        <v>67</v>
      </c>
      <c r="F89" s="12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3.5</v>
      </c>
      <c r="G89" t="s">
        <v>40</v>
      </c>
      <c r="H89" s="1">
        <v>70</v>
      </c>
      <c r="I89" s="1" t="s">
        <v>43</v>
      </c>
      <c r="J89" s="16">
        <v>3</v>
      </c>
      <c r="K89" s="13">
        <f>BKV_Eindbeelden[[#This Row],[Stabiliteitskluitdiameter (m)]]/2</f>
        <v>1.5</v>
      </c>
      <c r="L89" s="1">
        <v>7.5</v>
      </c>
      <c r="M89" s="1">
        <v>12.5</v>
      </c>
      <c r="N89" s="14">
        <f>IF(BKV_Eindbeelden[[#This Row],[Stabiliteitskluit Straal (m)]]&lt;0.75,0.75,BKV_Eindbeelden[[#This Row],[Stabiliteitskluit Straal (m)]])</f>
        <v>1.5</v>
      </c>
      <c r="O89" s="1" t="s">
        <v>46</v>
      </c>
      <c r="P89" s="1" t="s">
        <v>43</v>
      </c>
      <c r="Q89" s="1" t="s">
        <v>47</v>
      </c>
      <c r="R89" s="1" t="s">
        <v>48</v>
      </c>
      <c r="S89" s="1" t="str">
        <f>BKV_Eindbeelden[[#This Row],[Beoogde omloop]]&amp;"JR"</f>
        <v>80JR</v>
      </c>
      <c r="T89" s="1" t="s">
        <v>48</v>
      </c>
      <c r="U89" s="1" t="str">
        <f>UPPER(BKV_Eindbeelden[[#This Row],[Boomgrootte]])</f>
        <v>VORMBOOM</v>
      </c>
      <c r="V89" s="1" t="s">
        <v>48</v>
      </c>
      <c r="W89" s="1" t="str">
        <f>IF(BKV_Eindbeelden[[#This Row],[Kroontype]]="brede kroon","BREED",IF(BKV_Eindbeelden[[#This Row],[Kroontype]]="normale kroon","NORMAAL",IF(BKV_Eindbeelden[[#This Row],[Kroontype]]="smalle kroon","SMAL","")))</f>
        <v>BREED</v>
      </c>
      <c r="X89" s="1" t="s">
        <v>48</v>
      </c>
      <c r="Y89" s="1" t="str">
        <f>IF(BKV_Eindbeelden[[#This Row],[Groeitype]]="Regulier Groeiend","REGULIER",IF(BKV_Eindbeelden[[#This Row],[Groeitype]]="Snelgroeiend","SNEL",""))</f>
        <v>REGULIER</v>
      </c>
      <c r="Z89" s="1" t="str">
        <f>_xlfn.CONCAT(BKV_Eindbeelden[[#This Row],[Bibliotheeknaam]:[Naamdeel5]])</f>
        <v>SGR-BOOM_80JR_VORMBOOM_BREED_REGULIER</v>
      </c>
    </row>
    <row r="90" spans="1:26" x14ac:dyDescent="0.25">
      <c r="A90" s="1" t="s">
        <v>64</v>
      </c>
      <c r="B90" s="1">
        <v>80</v>
      </c>
      <c r="C90" s="1" t="s">
        <v>11</v>
      </c>
      <c r="D90" s="1" t="s">
        <v>24</v>
      </c>
      <c r="E90" s="8" t="s">
        <v>70</v>
      </c>
      <c r="F90" s="12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2.5</v>
      </c>
      <c r="G90" t="s">
        <v>40</v>
      </c>
      <c r="H90" s="1">
        <v>50</v>
      </c>
      <c r="I90" s="1" t="s">
        <v>43</v>
      </c>
      <c r="J90" s="8">
        <v>2.5</v>
      </c>
      <c r="K90" s="13">
        <f>BKV_Eindbeelden[[#This Row],[Stabiliteitskluitdiameter (m)]]/2</f>
        <v>1.25</v>
      </c>
      <c r="L90" s="1">
        <v>5</v>
      </c>
      <c r="M90" s="1">
        <v>10</v>
      </c>
      <c r="N90" s="14">
        <f>IF(BKV_Eindbeelden[[#This Row],[Stabiliteitskluit Straal (m)]]&lt;0.75,0.75,BKV_Eindbeelden[[#This Row],[Stabiliteitskluit Straal (m)]])</f>
        <v>1.25</v>
      </c>
      <c r="O90" s="1" t="s">
        <v>46</v>
      </c>
      <c r="P90" s="1" t="s">
        <v>43</v>
      </c>
      <c r="Q90" s="1" t="s">
        <v>47</v>
      </c>
      <c r="R90" s="1" t="s">
        <v>48</v>
      </c>
      <c r="S90" s="1" t="str">
        <f>BKV_Eindbeelden[[#This Row],[Beoogde omloop]]&amp;"JR"</f>
        <v>80JR</v>
      </c>
      <c r="T90" s="1" t="s">
        <v>48</v>
      </c>
      <c r="U90" s="1" t="str">
        <f>UPPER(BKV_Eindbeelden[[#This Row],[Boomgrootte]])</f>
        <v>VORMBOOM</v>
      </c>
      <c r="V90" s="1" t="s">
        <v>48</v>
      </c>
      <c r="W90" s="1" t="str">
        <f>IF(BKV_Eindbeelden[[#This Row],[Kroontype]]="brede kroon","BREED",IF(BKV_Eindbeelden[[#This Row],[Kroontype]]="normale kroon","NORMAAL",IF(BKV_Eindbeelden[[#This Row],[Kroontype]]="smalle kroon","SMAL","")))</f>
        <v>NORMAAL</v>
      </c>
      <c r="X90" s="1" t="s">
        <v>48</v>
      </c>
      <c r="Y90" s="1" t="str">
        <f>IF(BKV_Eindbeelden[[#This Row],[Groeitype]]="Regulier Groeiend","REGULIER",IF(BKV_Eindbeelden[[#This Row],[Groeitype]]="Snelgroeiend","SNEL",""))</f>
        <v>REGULIER</v>
      </c>
      <c r="Z90" s="1" t="str">
        <f>_xlfn.CONCAT(BKV_Eindbeelden[[#This Row],[Bibliotheeknaam]:[Naamdeel5]])</f>
        <v>SGR-BOOM_80JR_VORMBOOM_NORMAAL_REGULIER</v>
      </c>
    </row>
    <row r="91" spans="1:26" x14ac:dyDescent="0.25">
      <c r="A91" s="1" t="s">
        <v>64</v>
      </c>
      <c r="B91" s="1">
        <v>80</v>
      </c>
      <c r="C91" s="1" t="s">
        <v>11</v>
      </c>
      <c r="D91" s="1" t="s">
        <v>31</v>
      </c>
      <c r="E91" s="8" t="s">
        <v>65</v>
      </c>
      <c r="F91" s="15">
        <f>(_xlfn.LET(
_xlpm.x,_xlfn.TEXTBEFORE(_xlfn.TEXTAFTER(BKV_Eindbeelden[[#This Row],[Boomkoondiameter (m)]],"("),")"),
_xlpm.y,SUBSTITUTE(SUBSTITUTE(SUBSTITUTE(SUBSTITUTE(_xlpm.x,"≥",""),"≤",""),"&gt;",""),"&lt;",""),
_xlpm.ondergrens,VALUE(_xlfn.TEXTBEFORE(_xlpm.y&amp;"-","-")),
_xlpm.bovengrens,VALUE(IFERROR(_xlfn.TEXTAFTER(_xlpm.y,"-"),_xlpm.y)),
AVERAGE(_xlpm.ondergrens,_xlpm.bovengrens)
))/2</f>
        <v>2</v>
      </c>
      <c r="G91" t="s">
        <v>40</v>
      </c>
      <c r="H91" s="1">
        <v>20</v>
      </c>
      <c r="I91" s="1" t="s">
        <v>43</v>
      </c>
      <c r="J91" s="8">
        <v>2</v>
      </c>
      <c r="K91" s="17">
        <f>BKV_Eindbeelden[[#This Row],[Stabiliteitskluitdiameter (m)]]/2</f>
        <v>1</v>
      </c>
      <c r="L91" s="1">
        <v>3.5</v>
      </c>
      <c r="M91" s="1">
        <v>7.5</v>
      </c>
      <c r="N91" s="18">
        <f>IF(BKV_Eindbeelden[[#This Row],[Stabiliteitskluit Straal (m)]]&lt;0.75,0.75,BKV_Eindbeelden[[#This Row],[Stabiliteitskluit Straal (m)]])</f>
        <v>1</v>
      </c>
      <c r="O91" s="1" t="s">
        <v>46</v>
      </c>
      <c r="P91" s="1" t="s">
        <v>43</v>
      </c>
      <c r="Q91" s="1" t="s">
        <v>47</v>
      </c>
      <c r="R91" s="1" t="s">
        <v>48</v>
      </c>
      <c r="S91" s="1" t="str">
        <f>BKV_Eindbeelden[[#This Row],[Beoogde omloop]]&amp;"JR"</f>
        <v>80JR</v>
      </c>
      <c r="T91" s="1" t="s">
        <v>48</v>
      </c>
      <c r="U91" s="1" t="str">
        <f>UPPER(BKV_Eindbeelden[[#This Row],[Boomgrootte]])</f>
        <v>VORMBOOM</v>
      </c>
      <c r="V91" s="1" t="s">
        <v>48</v>
      </c>
      <c r="W91" s="1" t="str">
        <f>IF(BKV_Eindbeelden[[#This Row],[Kroontype]]="brede kroon","BREED",IF(BKV_Eindbeelden[[#This Row],[Kroontype]]="normale kroon","NORMAAL",IF(BKV_Eindbeelden[[#This Row],[Kroontype]]="smalle kroon","SMAL","")))</f>
        <v>SMAL</v>
      </c>
      <c r="X91" s="1" t="s">
        <v>48</v>
      </c>
      <c r="Y91" s="1" t="str">
        <f>IF(BKV_Eindbeelden[[#This Row],[Groeitype]]="Regulier Groeiend","REGULIER",IF(BKV_Eindbeelden[[#This Row],[Groeitype]]="Snelgroeiend","SNEL",""))</f>
        <v>REGULIER</v>
      </c>
      <c r="Z91" s="1" t="str">
        <f>_xlfn.CONCAT(BKV_Eindbeelden[[#This Row],[Bibliotheeknaam]:[Naamdeel5]])</f>
        <v>SGR-BOOM_80JR_VORMBOOM_SMAL_REGULIER</v>
      </c>
    </row>
  </sheetData>
  <phoneticPr fontId="1" type="noConversion"/>
  <conditionalFormatting sqref="O2:R91">
    <cfRule type="containsText" dxfId="4" priority="1" operator="containsText" text="niet bekend">
      <formula>NOT(ISERROR(SEARCH("niet bekend",O2)))</formula>
    </cfRule>
  </conditionalFormatting>
  <conditionalFormatting sqref="T2:T91">
    <cfRule type="containsText" dxfId="3" priority="4" operator="containsText" text="niet bekend">
      <formula>NOT(ISERROR(SEARCH("niet bekend",T2)))</formula>
    </cfRule>
  </conditionalFormatting>
  <conditionalFormatting sqref="V2:V91">
    <cfRule type="containsText" dxfId="2" priority="3" operator="containsText" text="niet bekend">
      <formula>NOT(ISERROR(SEARCH("niet bekend",V2)))</formula>
    </cfRule>
  </conditionalFormatting>
  <conditionalFormatting sqref="X2:X91">
    <cfRule type="containsText" dxfId="1" priority="2" operator="containsText" text="niet bekend">
      <formula>NOT(ISERROR(SEARCH("niet bekend",X2)))</formula>
    </cfRule>
  </conditionalFormatting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BKV_Eindbeelden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van der Heijden</cp:lastModifiedBy>
  <dcterms:created xsi:type="dcterms:W3CDTF">2026-06-09T10:03:34Z</dcterms:created>
  <dcterms:modified xsi:type="dcterms:W3CDTF">2026-09-22T13:11:35Z</dcterms:modified>
</cp:coreProperties>
</file>