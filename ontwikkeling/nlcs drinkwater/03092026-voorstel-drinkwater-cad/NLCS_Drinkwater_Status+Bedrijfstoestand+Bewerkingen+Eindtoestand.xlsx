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pi.dropbox.com/wopi/files/oid_5090193648496400896/WOPIServiceId_TP_DROPBOX_PLUS/WOPIUserId_-/"/>
    </mc:Choice>
  </mc:AlternateContent>
  <xr:revisionPtr revIDLastSave="464" documentId="13_ncr:1_{51EE6091-6994-4864-815B-1C0AFF3FA188}" xr6:coauthVersionLast="47" xr6:coauthVersionMax="47" xr10:uidLastSave="{6657649B-3FC4-454C-A55E-AF94B1874BA9}"/>
  <bookViews>
    <workbookView xWindow="-120" yWindow="-120" windowWidth="57840" windowHeight="23520" xr2:uid="{BE6DC29A-515D-4D69-AD74-26910037D51F}"/>
  </bookViews>
  <sheets>
    <sheet name="Voorbeelde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tc={538A0F57-2035-43EE-9E37-BCDCDB543AE7}</author>
    <author>tc={20608CD1-4E75-4D91-A1CE-0B26DABEEE7E}</author>
    <author>tc={81394CBA-D1FB-456A-97C1-B3787EB68EEB}</author>
    <author>tc={AAD4E95B-5ABF-45AC-BBBB-60A3F2B43280}</author>
    <author>tc={41EF6EEB-578C-4F45-AB76-0D741CB3D3BA}</author>
    <author>tc={0B3F21F9-2884-422A-87A3-8B842494D7C8}</author>
    <author>tc={C706A995-2597-42C1-9D1B-63E1BDBDEC55}</author>
    <author>tc={6E73756A-D0F8-44F5-BE24-CC7D5B408DEB}</author>
    <author>tc={E04C0840-BB89-4A36-9412-90476ADD7DCA}</author>
  </authors>
  <commentList>
    <comment ref="E2" authorId="0" shapeId="0" xr:uid="{538A0F57-2035-43EE-9E37-BCDCDB543AE7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Bewerking bij bestaand kan nooit gevuld zijn
</t>
      </text>
    </comment>
    <comment ref="G2" authorId="1" shapeId="0" xr:uid="{20608CD1-4E75-4D91-A1CE-0B26DABEEE7E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Indien iets gebeurt met het object zal de status altijd naar Nieuwe situatie gaan.
Revisie kan nooit voorkomen in ontwerptekeningen</t>
      </text>
    </comment>
    <comment ref="M2" authorId="2" shapeId="0" xr:uid="{81394CBA-D1FB-456A-97C1-B3787EB68EEB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Bewerking kan in de revisie in principe niet gevuld zijn</t>
      </text>
    </comment>
    <comment ref="A11" authorId="3" shapeId="0" xr:uid="{AAD4E95B-5ABF-45AC-BBBB-60A3F2B4328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Eigenlijk de “In aanleg” variant van evides</t>
      </text>
    </comment>
    <comment ref="H14" authorId="4" shapeId="0" xr:uid="{41EF6EEB-578C-4F45-AB76-0D741CB3D3B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Logica ontwikkelen voor een handeling Volschuimen waarbij de status automatisch naar VERLATEN gaat. Keuze maken (IN BEDRIJF) of (VERLATEN)</t>
      </text>
    </comment>
    <comment ref="I14" authorId="5" shapeId="0" xr:uid="{0B3F21F9-2884-422A-87A3-8B842494D7C8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Dictionary maken van Bewerking en evenknie fysieke eindtoestand</t>
      </text>
    </comment>
    <comment ref="G18" authorId="6" shapeId="0" xr:uid="{C706A995-2597-42C1-9D1B-63E1BDBDEC55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Keuze maken V of N
</t>
      </text>
    </comment>
    <comment ref="G21" authorId="7" shapeId="0" xr:uid="{6E73756A-D0F8-44F5-BE24-CC7D5B408DEB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Keuze maken V of N
</t>
      </text>
    </comment>
    <comment ref="N22" authorId="8" shapeId="0" xr:uid="{E04C0840-BB89-4A36-9412-90476ADD7DCA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Niet perse verplicht maar eventueel als extra aanduiding
</t>
      </text>
    </comment>
  </commentList>
</comments>
</file>

<file path=xl/sharedStrings.xml><?xml version="1.0" encoding="utf-8"?>
<sst xmlns="http://schemas.openxmlformats.org/spreadsheetml/2006/main" count="151" uniqueCount="50">
  <si>
    <t>B</t>
  </si>
  <si>
    <t>N</t>
  </si>
  <si>
    <t>R</t>
  </si>
  <si>
    <t>T</t>
  </si>
  <si>
    <t>V</t>
  </si>
  <si>
    <t>Verwijderd</t>
  </si>
  <si>
    <t>(IN BEDRIJF)</t>
  </si>
  <si>
    <t>RELINEN</t>
  </si>
  <si>
    <t>TE VERWIJDEREN</t>
  </si>
  <si>
    <t>Startsituatie</t>
  </si>
  <si>
    <t>Eindsituatie</t>
  </si>
  <si>
    <t>Bewerking</t>
  </si>
  <si>
    <t>Bestaand, in Bedrijf</t>
  </si>
  <si>
    <t>Bestaand, Verplaatsen</t>
  </si>
  <si>
    <t>Nieuw, in Bedrijf</t>
  </si>
  <si>
    <t>Bestaand, opgevuld</t>
  </si>
  <si>
    <t>Bestaand, gerelined</t>
  </si>
  <si>
    <t>(GEEN)</t>
  </si>
  <si>
    <t>TE VERPLAATSEN</t>
  </si>
  <si>
    <t>Bestaand, Verlaten</t>
  </si>
  <si>
    <t>Geen</t>
  </si>
  <si>
    <t>NLCS Status</t>
  </si>
  <si>
    <t>Bedrijfstoestand</t>
  </si>
  <si>
    <t>Ontwerp</t>
  </si>
  <si>
    <t>Basis Scenario's</t>
  </si>
  <si>
    <t>(VERLATEN)</t>
  </si>
  <si>
    <t>VERLATEN STELLEN</t>
  </si>
  <si>
    <t>Bestaand, Reserve</t>
  </si>
  <si>
    <t>RESERVE STELLEN</t>
  </si>
  <si>
    <t>(RESERVE)</t>
  </si>
  <si>
    <t>Fysieke Eindtoestand</t>
  </si>
  <si>
    <t>VOLGESCHUIMD</t>
  </si>
  <si>
    <t>VERWIJDERD</t>
  </si>
  <si>
    <t>Bestaand, Verlaten, Volgeschuimd</t>
  </si>
  <si>
    <t>V,R</t>
  </si>
  <si>
    <t>IN BEDRIJF STELLEN</t>
  </si>
  <si>
    <t>VOLSCHUIMEN</t>
  </si>
  <si>
    <t>RELINED</t>
  </si>
  <si>
    <t>Tijdelijk, in Bedrijf</t>
  </si>
  <si>
    <t>Bewerkingen</t>
  </si>
  <si>
    <t>VERPLAATST</t>
  </si>
  <si>
    <t>INMETEN</t>
  </si>
  <si>
    <t>GEMETEN</t>
  </si>
  <si>
    <r>
      <t xml:space="preserve">Bestaand, gemeten </t>
    </r>
    <r>
      <rPr>
        <i/>
        <sz val="10"/>
        <rFont val="Aptos"/>
        <family val="2"/>
      </rPr>
      <t>(Geometrie mutaties)</t>
    </r>
  </si>
  <si>
    <t>Bijzondere situaties</t>
  </si>
  <si>
    <t>Aanpassingen bedrijfstoestanden</t>
  </si>
  <si>
    <t>Voorbeeldlaag NLCS StartSituatie</t>
  </si>
  <si>
    <t>Voorbeeldlaag NLCS Ontwerp</t>
  </si>
  <si>
    <t>Voorbeeldlaag NLCS Revisie</t>
  </si>
  <si>
    <t>Gerealiseerde situatie (As-Built / Revisie)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</si>
</sst>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sz val="9"/>
      <color indexed="81"/>
      <name val="Tahoma"/>
      <family val="2"/>
    </font>
    <font>
      <i/>
      <sz val="10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4" fillId="0" borderId="0" xfId="0" applyFont="1"/>
    <xf numFmtId="0" fontId="9" fillId="0" borderId="0" xfId="0" applyFont="1"/>
    <xf numFmtId="0" fontId="10" fillId="0" borderId="0" xfId="0" applyFont="1"/>
    <xf numFmtId="0" fontId="4" fillId="0" borderId="0" xfId="0" applyFont="1" applyBorder="1"/>
    <xf numFmtId="0" fontId="2" fillId="0" borderId="0" xfId="0" applyFont="1" applyBorder="1"/>
    <xf numFmtId="0" fontId="2" fillId="0" borderId="7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5" xfId="0" applyFont="1" applyBorder="1"/>
    <xf numFmtId="0" fontId="9" fillId="0" borderId="1" xfId="0" applyFont="1" applyBorder="1"/>
    <xf numFmtId="0" fontId="9" fillId="0" borderId="6" xfId="0" applyFont="1" applyBorder="1"/>
    <xf numFmtId="0" fontId="9" fillId="0" borderId="0" xfId="0" applyFont="1" applyBorder="1"/>
    <xf numFmtId="0" fontId="8" fillId="0" borderId="0" xfId="0" applyFont="1" applyBorder="1"/>
    <xf numFmtId="0" fontId="3" fillId="3" borderId="7" xfId="0" applyFont="1" applyFill="1" applyBorder="1"/>
    <xf numFmtId="0" fontId="3" fillId="3" borderId="3" xfId="0" applyFont="1" applyFill="1" applyBorder="1"/>
    <xf numFmtId="0" fontId="5" fillId="3" borderId="0" xfId="0" applyFont="1" applyFill="1" applyBorder="1"/>
    <xf numFmtId="0" fontId="3" fillId="3" borderId="0" xfId="0" applyFont="1" applyFill="1"/>
    <xf numFmtId="0" fontId="2" fillId="3" borderId="0" xfId="0" applyFont="1" applyFill="1"/>
    <xf numFmtId="0" fontId="9" fillId="0" borderId="2" xfId="0" applyFont="1" applyBorder="1"/>
    <xf numFmtId="0" fontId="3" fillId="3" borderId="0" xfId="0" applyFont="1" applyFill="1" applyBorder="1"/>
    <xf numFmtId="0" fontId="2" fillId="3" borderId="7" xfId="0" applyFont="1" applyFill="1" applyBorder="1"/>
    <xf numFmtId="0" fontId="2" fillId="3" borderId="0" xfId="0" applyFont="1" applyFill="1" applyBorder="1"/>
    <xf numFmtId="0" fontId="2" fillId="3" borderId="3" xfId="0" applyFont="1" applyFill="1" applyBorder="1"/>
    <xf numFmtId="0" fontId="2" fillId="0" borderId="4" xfId="0" applyFont="1" applyBorder="1"/>
    <xf numFmtId="0" fontId="11" fillId="0" borderId="9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9" xfId="0" applyFont="1" applyBorder="1"/>
    <xf numFmtId="0" fontId="10" fillId="0" borderId="10" xfId="0" applyFont="1" applyBorder="1"/>
    <xf numFmtId="0" fontId="10" fillId="0" borderId="11" xfId="0" applyFont="1" applyBorder="1"/>
  </cellXfs>
  <cellStyles count="2">
    <cellStyle name="Goed" xfId="1" builtinId="26" customBuiltin="1"/>
    <cellStyle name="Standaard" xfId="0" builtinId="0"/>
  </cellStyles>
  <dxfs count="22">
    <dxf>
      <fill>
        <patternFill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k van der Heijden" id="{71F6E4C6-4CF8-4D55-BA97-651B4C787B75}" userId="Frank van der Heijden" providerId="Non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9E4809-0267-46DF-A7CE-06CB456BF215}" name="Tabel5" displayName="Tabel5" ref="C2:F23" totalsRowShown="0" headerRowDxfId="3" dataDxfId="21" tableBorderDxfId="19">
  <autoFilter ref="C2:F23" xr:uid="{839E4809-0267-46DF-A7CE-06CB456BF215}"/>
  <tableColumns count="4">
    <tableColumn id="1" xr3:uid="{0D9C1C12-9F0C-4BF8-B68F-226C390AABAD}" name="NLCS Status" dataDxfId="18"/>
    <tableColumn id="2" xr3:uid="{41A85837-09FE-4C09-A35F-77A44404C075}" name="Bedrijfstoestand" dataDxfId="17"/>
    <tableColumn id="3" xr3:uid="{1458675B-A452-42A3-8FE4-54B5CBA16D93}" name="Bewerking" dataDxfId="16"/>
    <tableColumn id="4" xr3:uid="{AD167FDE-2BAC-45DD-82B3-45ADDEAF2250}" name="Fysieke Eindtoestand" dataDxfId="15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2A3A0B-812D-4294-9B75-8D22733DBC3A}" name="Tabel6" displayName="Tabel6" ref="G2:J23" totalsRowShown="0" headerRowDxfId="2" dataDxfId="20" tableBorderDxfId="14">
  <autoFilter ref="G2:J23" xr:uid="{D92A3A0B-812D-4294-9B75-8D22733DBC3A}"/>
  <tableColumns count="4">
    <tableColumn id="1" xr3:uid="{636B469A-C67A-42A4-A648-AAC114E93EAA}" name="NLCS Status" dataDxfId="13"/>
    <tableColumn id="2" xr3:uid="{DE92D768-83AC-49F6-8C82-E16082AA07E9}" name="Bedrijfstoestand" dataDxfId="12"/>
    <tableColumn id="3" xr3:uid="{00E5E8F7-996C-4641-8748-3DB074D0B17A}" name="Bewerking" dataDxfId="11"/>
    <tableColumn id="4" xr3:uid="{355A2AF4-0D39-482E-B0B2-DCCB4A61117A}" name="Fysieke Eindtoestand" dataDxfId="10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22FCDF-9892-4EC7-8F90-3C3E4D444EC5}" name="Tabel7" displayName="Tabel7" ref="K2:N23" totalsRowShown="0" headerRowDxfId="1" dataDxfId="4" tableBorderDxfId="9">
  <autoFilter ref="K2:N23" xr:uid="{6A22FCDF-9892-4EC7-8F90-3C3E4D444EC5}"/>
  <tableColumns count="4">
    <tableColumn id="1" xr3:uid="{1129A736-3BD1-417A-993F-1AD6EA2622AB}" name="NLCS Status" dataDxfId="8"/>
    <tableColumn id="2" xr3:uid="{ADCDA801-A26A-4C2F-B0E8-3A3AD2B96A87}" name="Bedrijfstoestand" dataDxfId="7"/>
    <tableColumn id="3" xr3:uid="{3B0863BA-C9DC-4E25-8CB8-E5AD43C705E9}" name="Bewerking" dataDxfId="6"/>
    <tableColumn id="4" xr3:uid="{176BE5CE-21E3-416D-8C42-99307B43001E}" name="Fysieke Eindtoestand" dataDxfId="5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6-07-22T06:43:54.30" personId="{71F6E4C6-4CF8-4D55-BA97-651B4C787B75}" id="{538A0F57-2035-43EE-9E37-BCDCDB543AE7}">
    <text xml:space="preserve">Bewerking bij bestaand kan nooit gevuld zijn
</text>
  </threadedComment>
  <threadedComment ref="G2" dT="2026-07-22T06:54:40.26" personId="{71F6E4C6-4CF8-4D55-BA97-651B4C787B75}" id="{20608CD1-4E75-4D91-A1CE-0B26DABEEE7E}">
    <text>Indien iets gebeurt met het object zal de status altijd naar Nieuwe situatie gaan.
Revisie kan nooit voorkomen in ontwerptekeningen</text>
  </threadedComment>
  <threadedComment ref="M2" dT="2026-07-22T06:57:19.96" personId="{71F6E4C6-4CF8-4D55-BA97-651B4C787B75}" id="{81394CBA-D1FB-456A-97C1-B3787EB68EEB}">
    <text>Bewerking kan in de revisie in principe niet gevuld zijn</text>
  </threadedComment>
  <threadedComment ref="A11" dT="2026-07-23T12:42:23.12" personId="{71F6E4C6-4CF8-4D55-BA97-651B4C787B75}" id="{AAD4E95B-5ABF-45AC-BBBB-60A3F2B43280}">
    <text>Eigenlijk de “In aanleg” variant van evides</text>
  </threadedComment>
  <threadedComment ref="H14" dT="2026-07-22T07:02:26.61" personId="{71F6E4C6-4CF8-4D55-BA97-651B4C787B75}" id="{41EF6EEB-578C-4F45-AB76-0D741CB3D3BA}">
    <text>Logica ontwikkelen voor een handeling Volschuimen waarbij de status automatisch naar VERLATEN gaat. Keuze maken (IN BEDRIJF) of (VERLATEN)</text>
  </threadedComment>
  <threadedComment ref="I14" dT="2026-07-22T07:17:13.04" personId="{71F6E4C6-4CF8-4D55-BA97-651B4C787B75}" id="{0B3F21F9-2884-422A-87A3-8B842494D7C8}">
    <text>Dictionary maken van Bewerking en evenknie fysieke eindtoestand</text>
  </threadedComment>
  <threadedComment ref="G18" dT="2026-07-22T06:58:03.88" personId="{71F6E4C6-4CF8-4D55-BA97-651B4C787B75}" id="{C706A995-2597-42C1-9D1B-63E1BDBDEC55}">
    <text xml:space="preserve">Keuze maken V of N
</text>
  </threadedComment>
  <threadedComment ref="G21" dT="2026-07-22T06:58:03.88" personId="{71F6E4C6-4CF8-4D55-BA97-651B4C787B75}" id="{6E73756A-D0F8-44F5-BE24-CC7D5B408DEB}">
    <text xml:space="preserve">Keuze maken V of N
</text>
  </threadedComment>
  <threadedComment ref="N22" dT="2026-07-22T07:18:59.30" personId="{71F6E4C6-4CF8-4D55-BA97-651B4C787B75}" id="{E04C0840-BB89-4A36-9412-90476ADD7DCA}">
    <text xml:space="preserve">Niet perse verplicht maar eventueel als extra aanduiding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65DEA-61CD-4DB1-B1A4-751DBCF10D31}">
  <dimension ref="A1:R23"/>
  <sheetViews>
    <sheetView tabSelected="1" zoomScale="110" zoomScaleNormal="110" workbookViewId="0"/>
  </sheetViews>
  <sheetFormatPr defaultColWidth="8.85546875" defaultRowHeight="13.5" x14ac:dyDescent="0.25"/>
  <cols>
    <col min="1" max="1" width="31.5703125" style="1" bestFit="1" customWidth="1"/>
    <col min="2" max="2" width="36.5703125" style="1" bestFit="1" customWidth="1"/>
    <col min="3" max="3" width="15.7109375" style="2" bestFit="1" customWidth="1"/>
    <col min="4" max="4" width="19.85546875" style="2" bestFit="1" customWidth="1"/>
    <col min="5" max="5" width="13.42578125" style="2" bestFit="1" customWidth="1"/>
    <col min="6" max="6" width="24.5703125" style="2" bestFit="1" customWidth="1"/>
    <col min="7" max="7" width="15.7109375" style="2" bestFit="1" customWidth="1"/>
    <col min="8" max="8" width="19.85546875" style="2" bestFit="1" customWidth="1"/>
    <col min="9" max="9" width="16" style="2" bestFit="1" customWidth="1"/>
    <col min="10" max="10" width="24.5703125" style="2" bestFit="1" customWidth="1"/>
    <col min="11" max="11" width="15.7109375" style="2" bestFit="1" customWidth="1"/>
    <col min="12" max="12" width="19.85546875" style="2" bestFit="1" customWidth="1"/>
    <col min="13" max="13" width="13.42578125" style="2" bestFit="1" customWidth="1"/>
    <col min="14" max="14" width="24.5703125" style="1" bestFit="1" customWidth="1"/>
    <col min="15" max="15" width="3" style="1" customWidth="1"/>
    <col min="16" max="16" width="39.85546875" style="1" bestFit="1" customWidth="1"/>
    <col min="17" max="17" width="42.5703125" style="1" bestFit="1" customWidth="1"/>
    <col min="18" max="18" width="39.85546875" style="1" bestFit="1" customWidth="1"/>
    <col min="19" max="16384" width="8.85546875" style="1"/>
  </cols>
  <sheetData>
    <row r="1" spans="1:18" s="4" customFormat="1" ht="16.5" thickBot="1" x14ac:dyDescent="0.3">
      <c r="C1" s="29" t="s">
        <v>9</v>
      </c>
      <c r="D1" s="30"/>
      <c r="E1" s="30"/>
      <c r="F1" s="30"/>
      <c r="G1" s="29" t="s">
        <v>23</v>
      </c>
      <c r="H1" s="30"/>
      <c r="I1" s="30"/>
      <c r="J1" s="31"/>
      <c r="K1" s="26" t="s">
        <v>49</v>
      </c>
      <c r="L1" s="27"/>
      <c r="M1" s="27"/>
      <c r="N1" s="28"/>
    </row>
    <row r="2" spans="1:18" s="3" customFormat="1" ht="15" x14ac:dyDescent="0.25">
      <c r="A2" s="11" t="s">
        <v>9</v>
      </c>
      <c r="B2" s="12" t="s">
        <v>10</v>
      </c>
      <c r="C2" s="13" t="s">
        <v>21</v>
      </c>
      <c r="D2" s="13" t="s">
        <v>22</v>
      </c>
      <c r="E2" s="13" t="s">
        <v>11</v>
      </c>
      <c r="F2" s="13" t="s">
        <v>30</v>
      </c>
      <c r="G2" s="14" t="s">
        <v>21</v>
      </c>
      <c r="H2" s="14" t="s">
        <v>22</v>
      </c>
      <c r="I2" s="14" t="s">
        <v>11</v>
      </c>
      <c r="J2" s="14" t="s">
        <v>30</v>
      </c>
      <c r="K2" s="14" t="s">
        <v>21</v>
      </c>
      <c r="L2" s="14" t="s">
        <v>22</v>
      </c>
      <c r="M2" s="14" t="s">
        <v>11</v>
      </c>
      <c r="N2" s="14" t="s">
        <v>30</v>
      </c>
      <c r="P2" s="11" t="s">
        <v>46</v>
      </c>
      <c r="Q2" s="20" t="s">
        <v>47</v>
      </c>
      <c r="R2" s="12" t="s">
        <v>48</v>
      </c>
    </row>
    <row r="3" spans="1:18" s="18" customFormat="1" x14ac:dyDescent="0.25">
      <c r="A3" s="15" t="s">
        <v>24</v>
      </c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P3" s="15"/>
      <c r="Q3" s="21"/>
      <c r="R3" s="16"/>
    </row>
    <row r="4" spans="1:18" x14ac:dyDescent="0.25">
      <c r="A4" s="7" t="s">
        <v>12</v>
      </c>
      <c r="B4" s="8" t="s">
        <v>12</v>
      </c>
      <c r="C4" s="5" t="s">
        <v>0</v>
      </c>
      <c r="D4" s="5" t="s">
        <v>6</v>
      </c>
      <c r="E4" s="5"/>
      <c r="F4" s="5"/>
      <c r="G4" s="5" t="s">
        <v>0</v>
      </c>
      <c r="H4" s="5" t="s">
        <v>6</v>
      </c>
      <c r="I4" s="5"/>
      <c r="J4" s="5"/>
      <c r="K4" s="5" t="s">
        <v>0</v>
      </c>
      <c r="L4" s="5" t="s">
        <v>6</v>
      </c>
      <c r="M4" s="5"/>
      <c r="N4" s="5"/>
      <c r="P4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>B-OI-KL- xxx -(IN BEDRIJF) -G</v>
      </c>
      <c r="Q4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B-OI-KL- xxx -(IN BEDRIJF) -G</v>
      </c>
      <c r="R4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B-OI-KL- xxx -(IN BEDRIJF) -G</v>
      </c>
    </row>
    <row r="5" spans="1:18" x14ac:dyDescent="0.25">
      <c r="A5" s="7" t="s">
        <v>20</v>
      </c>
      <c r="B5" s="8" t="s">
        <v>14</v>
      </c>
      <c r="C5" s="5"/>
      <c r="D5" s="5"/>
      <c r="E5" s="5"/>
      <c r="F5" s="5"/>
      <c r="G5" s="5" t="s">
        <v>1</v>
      </c>
      <c r="H5" s="5" t="s">
        <v>17</v>
      </c>
      <c r="I5" s="5"/>
      <c r="J5" s="5"/>
      <c r="K5" s="5" t="s">
        <v>2</v>
      </c>
      <c r="L5" s="5" t="s">
        <v>6</v>
      </c>
      <c r="M5" s="5"/>
      <c r="N5" s="5"/>
      <c r="P5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/>
      </c>
      <c r="Q5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N-OI-KL- xxx -(GEEN) -G</v>
      </c>
      <c r="R5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R-OI-KL- xxx -(IN BEDRIJF) -G</v>
      </c>
    </row>
    <row r="6" spans="1:18" x14ac:dyDescent="0.25">
      <c r="A6" s="7" t="s">
        <v>20</v>
      </c>
      <c r="B6" s="8" t="s">
        <v>38</v>
      </c>
      <c r="C6" s="5"/>
      <c r="D6" s="5"/>
      <c r="E6" s="5"/>
      <c r="F6" s="5"/>
      <c r="G6" s="5" t="s">
        <v>3</v>
      </c>
      <c r="H6" s="5" t="s">
        <v>17</v>
      </c>
      <c r="I6" s="5"/>
      <c r="J6" s="5"/>
      <c r="K6" s="5" t="s">
        <v>3</v>
      </c>
      <c r="L6" s="5" t="s">
        <v>6</v>
      </c>
      <c r="M6" s="5"/>
      <c r="N6" s="5"/>
      <c r="P6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/>
      </c>
      <c r="Q6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T-OI-KL- xxx -(GEEN) -G</v>
      </c>
      <c r="R6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T-OI-KL- xxx -(IN BEDRIJF) -G</v>
      </c>
    </row>
    <row r="7" spans="1:18" x14ac:dyDescent="0.25">
      <c r="A7" s="7" t="s">
        <v>12</v>
      </c>
      <c r="B7" s="8" t="s">
        <v>5</v>
      </c>
      <c r="C7" s="5" t="s">
        <v>0</v>
      </c>
      <c r="D7" s="5" t="s">
        <v>6</v>
      </c>
      <c r="E7" s="5"/>
      <c r="F7" s="5"/>
      <c r="G7" s="5" t="s">
        <v>1</v>
      </c>
      <c r="H7" s="5" t="s">
        <v>6</v>
      </c>
      <c r="I7" s="5" t="s">
        <v>8</v>
      </c>
      <c r="J7" s="5"/>
      <c r="K7" s="5" t="s">
        <v>4</v>
      </c>
      <c r="L7" s="5"/>
      <c r="M7" s="5"/>
      <c r="N7" s="5" t="s">
        <v>32</v>
      </c>
      <c r="P7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>B-OI-KL- xxx -(IN BEDRIJF) -G</v>
      </c>
      <c r="Q7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N-OI-KL- xxx -(IN BEDRIJF) TE VERWIJDEREN-G</v>
      </c>
      <c r="R7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V-OI-KL- xxx - VERWIJDERD-G</v>
      </c>
    </row>
    <row r="8" spans="1:18" s="19" customFormat="1" x14ac:dyDescent="0.25">
      <c r="A8" s="15" t="s">
        <v>45</v>
      </c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P8" s="22" t="str">
        <f>IF(Tabel5[[#This Row],[NLCS Status]]="","",Tabel5[[#This Row],[NLCS Status]]&amp;"-OI-KL- xxx -"&amp;Tabel5[[#This Row],[Bedrijfstoestand]]&amp;" "&amp;Tabel5[[#This Row],[Bewerking]]&amp;Tabel5[[#This Row],[Fysieke Eindtoestand]]&amp;"-G")</f>
        <v/>
      </c>
      <c r="Q8" s="23" t="str">
        <f>IF(Tabel6[[#This Row],[NLCS Status]]="","",Tabel6[[#This Row],[NLCS Status]]&amp;"-OI-KL- xxx -"&amp;Tabel6[[#This Row],[Bedrijfstoestand]]&amp;" "&amp;Tabel6[[#This Row],[Bewerking]]&amp;Tabel6[[#This Row],[Fysieke Eindtoestand]]&amp;"-G")</f>
        <v/>
      </c>
      <c r="R8" s="24" t="str">
        <f>IF(Tabel7[[#This Row],[NLCS Status]]="","",Tabel7[[#This Row],[NLCS Status]]&amp;"-OI-KL- xxx -"&amp;Tabel7[[#This Row],[Bedrijfstoestand]]&amp;" "&amp;Tabel7[[#This Row],[Bewerking]]&amp;Tabel7[[#This Row],[Fysieke Eindtoestand]]&amp;"-G")</f>
        <v/>
      </c>
    </row>
    <row r="9" spans="1:18" x14ac:dyDescent="0.25">
      <c r="A9" s="7" t="s">
        <v>12</v>
      </c>
      <c r="B9" s="8" t="s">
        <v>19</v>
      </c>
      <c r="C9" s="5" t="s">
        <v>0</v>
      </c>
      <c r="D9" s="5" t="s">
        <v>6</v>
      </c>
      <c r="E9" s="5"/>
      <c r="F9" s="5"/>
      <c r="G9" s="5" t="s">
        <v>1</v>
      </c>
      <c r="H9" s="5" t="s">
        <v>6</v>
      </c>
      <c r="I9" s="5" t="s">
        <v>26</v>
      </c>
      <c r="J9" s="5"/>
      <c r="K9" s="5" t="s">
        <v>0</v>
      </c>
      <c r="L9" s="5" t="s">
        <v>25</v>
      </c>
      <c r="M9" s="5"/>
      <c r="N9" s="5"/>
      <c r="P9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>B-OI-KL- xxx -(IN BEDRIJF) -G</v>
      </c>
      <c r="Q9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N-OI-KL- xxx -(IN BEDRIJF) VERLATEN STELLEN-G</v>
      </c>
      <c r="R9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B-OI-KL- xxx -(VERLATEN) -G</v>
      </c>
    </row>
    <row r="10" spans="1:18" x14ac:dyDescent="0.25">
      <c r="A10" s="7" t="s">
        <v>12</v>
      </c>
      <c r="B10" s="8" t="s">
        <v>27</v>
      </c>
      <c r="C10" s="5" t="s">
        <v>0</v>
      </c>
      <c r="D10" s="5" t="s">
        <v>6</v>
      </c>
      <c r="E10" s="5"/>
      <c r="F10" s="5"/>
      <c r="G10" s="5" t="s">
        <v>1</v>
      </c>
      <c r="H10" s="5" t="s">
        <v>6</v>
      </c>
      <c r="I10" s="5" t="s">
        <v>28</v>
      </c>
      <c r="J10" s="5"/>
      <c r="K10" s="5" t="s">
        <v>0</v>
      </c>
      <c r="L10" s="5" t="s">
        <v>29</v>
      </c>
      <c r="M10" s="5"/>
      <c r="N10" s="5"/>
      <c r="P10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>B-OI-KL- xxx -(IN BEDRIJF) -G</v>
      </c>
      <c r="Q10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N-OI-KL- xxx -(IN BEDRIJF) RESERVE STELLEN-G</v>
      </c>
      <c r="R10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B-OI-KL- xxx -(RESERVE) -G</v>
      </c>
    </row>
    <row r="11" spans="1:18" x14ac:dyDescent="0.25">
      <c r="A11" s="7" t="s">
        <v>27</v>
      </c>
      <c r="B11" s="8" t="s">
        <v>12</v>
      </c>
      <c r="C11" s="5" t="s">
        <v>0</v>
      </c>
      <c r="D11" s="5" t="s">
        <v>29</v>
      </c>
      <c r="E11" s="5"/>
      <c r="F11" s="5"/>
      <c r="G11" s="5" t="s">
        <v>1</v>
      </c>
      <c r="H11" s="5" t="s">
        <v>29</v>
      </c>
      <c r="I11" s="5" t="s">
        <v>35</v>
      </c>
      <c r="J11" s="5"/>
      <c r="K11" s="5" t="s">
        <v>2</v>
      </c>
      <c r="L11" s="5" t="s">
        <v>6</v>
      </c>
      <c r="M11" s="5"/>
      <c r="N11" s="5"/>
      <c r="P11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>B-OI-KL- xxx -(RESERVE) -G</v>
      </c>
      <c r="Q11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N-OI-KL- xxx -(RESERVE) IN BEDRIJF STELLEN-G</v>
      </c>
      <c r="R11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R-OI-KL- xxx -(IN BEDRIJF) -G</v>
      </c>
    </row>
    <row r="12" spans="1:18" x14ac:dyDescent="0.25">
      <c r="A12" s="7"/>
      <c r="B12" s="8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P12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/>
      </c>
      <c r="Q12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/>
      </c>
      <c r="R12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/>
      </c>
    </row>
    <row r="13" spans="1:18" s="19" customFormat="1" x14ac:dyDescent="0.25">
      <c r="A13" s="15" t="s">
        <v>39</v>
      </c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P13" s="22" t="str">
        <f>IF(Tabel5[[#This Row],[NLCS Status]]="","",Tabel5[[#This Row],[NLCS Status]]&amp;"-OI-KL- xxx -"&amp;Tabel5[[#This Row],[Bedrijfstoestand]]&amp;" "&amp;Tabel5[[#This Row],[Bewerking]]&amp;Tabel5[[#This Row],[Fysieke Eindtoestand]]&amp;"-G")</f>
        <v/>
      </c>
      <c r="Q13" s="23" t="str">
        <f>IF(Tabel6[[#This Row],[NLCS Status]]="","",Tabel6[[#This Row],[NLCS Status]]&amp;"-OI-KL- xxx -"&amp;Tabel6[[#This Row],[Bedrijfstoestand]]&amp;" "&amp;Tabel6[[#This Row],[Bewerking]]&amp;Tabel6[[#This Row],[Fysieke Eindtoestand]]&amp;"-G")</f>
        <v/>
      </c>
      <c r="R13" s="24" t="str">
        <f>IF(Tabel7[[#This Row],[NLCS Status]]="","",Tabel7[[#This Row],[NLCS Status]]&amp;"-OI-KL- xxx -"&amp;Tabel7[[#This Row],[Bedrijfstoestand]]&amp;" "&amp;Tabel7[[#This Row],[Bewerking]]&amp;Tabel7[[#This Row],[Fysieke Eindtoestand]]&amp;"-G")</f>
        <v/>
      </c>
    </row>
    <row r="14" spans="1:18" x14ac:dyDescent="0.25">
      <c r="A14" s="7" t="s">
        <v>12</v>
      </c>
      <c r="B14" s="8" t="s">
        <v>15</v>
      </c>
      <c r="C14" s="5" t="s">
        <v>0</v>
      </c>
      <c r="D14" s="5" t="s">
        <v>6</v>
      </c>
      <c r="E14" s="5"/>
      <c r="F14" s="5"/>
      <c r="G14" s="5" t="s">
        <v>1</v>
      </c>
      <c r="H14" s="5" t="s">
        <v>6</v>
      </c>
      <c r="I14" s="5" t="s">
        <v>36</v>
      </c>
      <c r="J14" s="5"/>
      <c r="K14" s="5" t="s">
        <v>2</v>
      </c>
      <c r="L14" s="5" t="s">
        <v>25</v>
      </c>
      <c r="M14" s="5"/>
      <c r="N14" s="5" t="s">
        <v>31</v>
      </c>
      <c r="P14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>B-OI-KL- xxx -(IN BEDRIJF) -G</v>
      </c>
      <c r="Q14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N-OI-KL- xxx -(IN BEDRIJF) VOLSCHUIMEN-G</v>
      </c>
      <c r="R14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R-OI-KL- xxx -(VERLATEN) VOLGESCHUIMD-G</v>
      </c>
    </row>
    <row r="15" spans="1:18" x14ac:dyDescent="0.25">
      <c r="A15" s="7" t="s">
        <v>12</v>
      </c>
      <c r="B15" s="8" t="s">
        <v>16</v>
      </c>
      <c r="C15" s="5" t="s">
        <v>0</v>
      </c>
      <c r="D15" s="5" t="s">
        <v>6</v>
      </c>
      <c r="E15" s="5"/>
      <c r="F15" s="5"/>
      <c r="G15" s="5" t="s">
        <v>1</v>
      </c>
      <c r="H15" s="5" t="s">
        <v>6</v>
      </c>
      <c r="I15" s="5" t="s">
        <v>7</v>
      </c>
      <c r="J15" s="5"/>
      <c r="K15" s="5" t="s">
        <v>2</v>
      </c>
      <c r="L15" s="5" t="s">
        <v>6</v>
      </c>
      <c r="M15" s="5"/>
      <c r="N15" s="5" t="s">
        <v>37</v>
      </c>
      <c r="P15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>B-OI-KL- xxx -(IN BEDRIJF) -G</v>
      </c>
      <c r="Q15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N-OI-KL- xxx -(IN BEDRIJF) RELINEN-G</v>
      </c>
      <c r="R15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R-OI-KL- xxx -(IN BEDRIJF) RELINED-G</v>
      </c>
    </row>
    <row r="16" spans="1:18" x14ac:dyDescent="0.25">
      <c r="A16" s="7"/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P16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/>
      </c>
      <c r="Q16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/>
      </c>
      <c r="R16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/>
      </c>
    </row>
    <row r="17" spans="1:18" x14ac:dyDescent="0.25">
      <c r="A17" s="7" t="s">
        <v>19</v>
      </c>
      <c r="B17" s="8" t="s">
        <v>5</v>
      </c>
      <c r="C17" s="5" t="s">
        <v>0</v>
      </c>
      <c r="D17" s="5" t="s">
        <v>25</v>
      </c>
      <c r="E17" s="5"/>
      <c r="F17" s="5"/>
      <c r="G17" s="5" t="s">
        <v>4</v>
      </c>
      <c r="H17" s="5" t="s">
        <v>25</v>
      </c>
      <c r="I17" s="5" t="s">
        <v>8</v>
      </c>
      <c r="J17" s="5"/>
      <c r="K17" s="5" t="s">
        <v>34</v>
      </c>
      <c r="L17" s="5" t="s">
        <v>25</v>
      </c>
      <c r="M17" s="5"/>
      <c r="N17" s="5" t="s">
        <v>32</v>
      </c>
      <c r="P17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>B-OI-KL- xxx -(VERLATEN) -G</v>
      </c>
      <c r="Q17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V-OI-KL- xxx -(VERLATEN) TE VERWIJDEREN-G</v>
      </c>
      <c r="R17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V,R-OI-KL- xxx -(VERLATEN) VERWIJDERD-G</v>
      </c>
    </row>
    <row r="18" spans="1:18" x14ac:dyDescent="0.25">
      <c r="A18" s="7" t="s">
        <v>33</v>
      </c>
      <c r="B18" s="8" t="s">
        <v>5</v>
      </c>
      <c r="C18" s="5" t="s">
        <v>0</v>
      </c>
      <c r="D18" s="5" t="s">
        <v>25</v>
      </c>
      <c r="E18" s="5"/>
      <c r="F18" s="5" t="s">
        <v>31</v>
      </c>
      <c r="G18" s="5" t="s">
        <v>4</v>
      </c>
      <c r="H18" s="5" t="s">
        <v>25</v>
      </c>
      <c r="I18" s="5" t="s">
        <v>8</v>
      </c>
      <c r="J18" s="5"/>
      <c r="K18" s="5" t="s">
        <v>34</v>
      </c>
      <c r="L18" s="5" t="s">
        <v>25</v>
      </c>
      <c r="M18" s="5"/>
      <c r="N18" s="5" t="s">
        <v>32</v>
      </c>
      <c r="P18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>B-OI-KL- xxx -(VERLATEN) VOLGESCHUIMD-G</v>
      </c>
      <c r="Q18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V-OI-KL- xxx -(VERLATEN) TE VERWIJDEREN-G</v>
      </c>
      <c r="R18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V,R-OI-KL- xxx -(VERLATEN) VERWIJDERD-G</v>
      </c>
    </row>
    <row r="19" spans="1:18" x14ac:dyDescent="0.25">
      <c r="A19" s="7"/>
      <c r="B19" s="8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P19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/>
      </c>
      <c r="Q19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/>
      </c>
      <c r="R19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/>
      </c>
    </row>
    <row r="20" spans="1:18" s="19" customFormat="1" x14ac:dyDescent="0.25">
      <c r="A20" s="15" t="s">
        <v>44</v>
      </c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P20" s="22" t="str">
        <f>IF(Tabel5[[#This Row],[NLCS Status]]="","",Tabel5[[#This Row],[NLCS Status]]&amp;"-OI-KL- xxx -"&amp;Tabel5[[#This Row],[Bedrijfstoestand]]&amp;" "&amp;Tabel5[[#This Row],[Bewerking]]&amp;Tabel5[[#This Row],[Fysieke Eindtoestand]]&amp;"-G")</f>
        <v/>
      </c>
      <c r="Q20" s="23" t="str">
        <f>IF(Tabel6[[#This Row],[NLCS Status]]="","",Tabel6[[#This Row],[NLCS Status]]&amp;"-OI-KL- xxx -"&amp;Tabel6[[#This Row],[Bedrijfstoestand]]&amp;" "&amp;Tabel6[[#This Row],[Bewerking]]&amp;Tabel6[[#This Row],[Fysieke Eindtoestand]]&amp;"-G")</f>
        <v/>
      </c>
      <c r="R20" s="24" t="str">
        <f>IF(Tabel7[[#This Row],[NLCS Status]]="","",Tabel7[[#This Row],[NLCS Status]]&amp;"-OI-KL- xxx -"&amp;Tabel7[[#This Row],[Bedrijfstoestand]]&amp;" "&amp;Tabel7[[#This Row],[Bewerking]]&amp;Tabel7[[#This Row],[Fysieke Eindtoestand]]&amp;"-G")</f>
        <v/>
      </c>
    </row>
    <row r="21" spans="1:18" x14ac:dyDescent="0.25">
      <c r="A21" s="7" t="s">
        <v>19</v>
      </c>
      <c r="B21" s="8" t="s">
        <v>5</v>
      </c>
      <c r="C21" s="5" t="s">
        <v>0</v>
      </c>
      <c r="D21" s="5" t="s">
        <v>25</v>
      </c>
      <c r="E21" s="5"/>
      <c r="F21" s="5"/>
      <c r="G21" s="5" t="s">
        <v>4</v>
      </c>
      <c r="H21" s="5" t="s">
        <v>25</v>
      </c>
      <c r="I21" s="5" t="s">
        <v>8</v>
      </c>
      <c r="J21" s="5"/>
      <c r="K21" s="5" t="s">
        <v>34</v>
      </c>
      <c r="L21" s="5" t="s">
        <v>25</v>
      </c>
      <c r="M21" s="5"/>
      <c r="N21" s="5" t="s">
        <v>32</v>
      </c>
      <c r="P21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>B-OI-KL- xxx -(VERLATEN) -G</v>
      </c>
      <c r="Q21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V-OI-KL- xxx -(VERLATEN) TE VERWIJDEREN-G</v>
      </c>
      <c r="R21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V,R-OI-KL- xxx -(VERLATEN) VERWIJDERD-G</v>
      </c>
    </row>
    <row r="22" spans="1:18" x14ac:dyDescent="0.25">
      <c r="A22" s="7" t="s">
        <v>12</v>
      </c>
      <c r="B22" s="8" t="s">
        <v>13</v>
      </c>
      <c r="C22" s="5" t="s">
        <v>0</v>
      </c>
      <c r="D22" s="5" t="s">
        <v>6</v>
      </c>
      <c r="E22" s="5"/>
      <c r="F22" s="5"/>
      <c r="G22" s="5" t="s">
        <v>1</v>
      </c>
      <c r="H22" s="5" t="s">
        <v>6</v>
      </c>
      <c r="I22" s="5" t="s">
        <v>18</v>
      </c>
      <c r="J22" s="5"/>
      <c r="K22" s="5" t="s">
        <v>2</v>
      </c>
      <c r="L22" s="5" t="s">
        <v>6</v>
      </c>
      <c r="M22" s="5"/>
      <c r="N22" s="5" t="s">
        <v>40</v>
      </c>
      <c r="P22" s="7" t="str">
        <f>IF(Tabel5[[#This Row],[NLCS Status]]="","",Tabel5[[#This Row],[NLCS Status]]&amp;"-OI-KL- xxx -"&amp;Tabel5[[#This Row],[Bedrijfstoestand]]&amp;" "&amp;Tabel5[[#This Row],[Bewerking]]&amp;Tabel5[[#This Row],[Fysieke Eindtoestand]]&amp;"-G")</f>
        <v>B-OI-KL- xxx -(IN BEDRIJF) -G</v>
      </c>
      <c r="Q22" s="6" t="str">
        <f>IF(Tabel6[[#This Row],[NLCS Status]]="","",Tabel6[[#This Row],[NLCS Status]]&amp;"-OI-KL- xxx -"&amp;Tabel6[[#This Row],[Bedrijfstoestand]]&amp;" "&amp;Tabel6[[#This Row],[Bewerking]]&amp;Tabel6[[#This Row],[Fysieke Eindtoestand]]&amp;"-G")</f>
        <v>N-OI-KL- xxx -(IN BEDRIJF) TE VERPLAATSEN-G</v>
      </c>
      <c r="R22" s="8" t="str">
        <f>IF(Tabel7[[#This Row],[NLCS Status]]="","",Tabel7[[#This Row],[NLCS Status]]&amp;"-OI-KL- xxx -"&amp;Tabel7[[#This Row],[Bedrijfstoestand]]&amp;" "&amp;Tabel7[[#This Row],[Bewerking]]&amp;Tabel7[[#This Row],[Fysieke Eindtoestand]]&amp;"-G")</f>
        <v>R-OI-KL- xxx -(IN BEDRIJF) VERPLAATST-G</v>
      </c>
    </row>
    <row r="23" spans="1:18" ht="14.25" thickBot="1" x14ac:dyDescent="0.3">
      <c r="A23" s="9" t="s">
        <v>12</v>
      </c>
      <c r="B23" s="10" t="s">
        <v>43</v>
      </c>
      <c r="C23" s="5" t="s">
        <v>0</v>
      </c>
      <c r="D23" s="5" t="s">
        <v>6</v>
      </c>
      <c r="E23" s="5"/>
      <c r="F23" s="5"/>
      <c r="G23" s="5" t="s">
        <v>1</v>
      </c>
      <c r="H23" s="5" t="s">
        <v>6</v>
      </c>
      <c r="I23" s="5" t="s">
        <v>41</v>
      </c>
      <c r="J23" s="5"/>
      <c r="K23" s="5" t="s">
        <v>2</v>
      </c>
      <c r="L23" s="5" t="s">
        <v>6</v>
      </c>
      <c r="M23" s="5"/>
      <c r="N23" s="5" t="s">
        <v>42</v>
      </c>
      <c r="P23" s="9" t="str">
        <f>IF(Tabel5[[#This Row],[NLCS Status]]="","",Tabel5[[#This Row],[NLCS Status]]&amp;"-OI-KL- xxx -"&amp;Tabel5[[#This Row],[Bedrijfstoestand]]&amp;" "&amp;Tabel5[[#This Row],[Bewerking]]&amp;Tabel5[[#This Row],[Fysieke Eindtoestand]]&amp;"-G")</f>
        <v>B-OI-KL- xxx -(IN BEDRIJF) -G</v>
      </c>
      <c r="Q23" s="25" t="str">
        <f>IF(Tabel6[[#This Row],[NLCS Status]]="","",Tabel6[[#This Row],[NLCS Status]]&amp;"-OI-KL- xxx -"&amp;Tabel6[[#This Row],[Bedrijfstoestand]]&amp;" "&amp;Tabel6[[#This Row],[Bewerking]]&amp;Tabel6[[#This Row],[Fysieke Eindtoestand]]&amp;"-G")</f>
        <v>N-OI-KL- xxx -(IN BEDRIJF) INMETEN-G</v>
      </c>
      <c r="R23" s="10" t="str">
        <f>IF(Tabel7[[#This Row],[NLCS Status]]="","",Tabel7[[#This Row],[NLCS Status]]&amp;"-OI-KL- xxx -"&amp;Tabel7[[#This Row],[Bedrijfstoestand]]&amp;" "&amp;Tabel7[[#This Row],[Bewerking]]&amp;Tabel7[[#This Row],[Fysieke Eindtoestand]]&amp;"-G")</f>
        <v>R-OI-KL- xxx -(IN BEDRIJF) GEMETEN-G</v>
      </c>
    </row>
  </sheetData>
  <mergeCells count="1">
    <mergeCell ref="K1:N1"/>
  </mergeCells>
  <conditionalFormatting sqref="C2:N1048576 C1:K1">
    <cfRule type="containsBlanks" dxfId="0" priority="2">
      <formula>LEN(TRIM(C1))=0</formula>
    </cfRule>
  </conditionalFormatting>
  <pageMargins left="0.7" right="0.7" top="0.75" bottom="0.75" header="0.3" footer="0.3"/>
  <legacy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1ebc29-79fd-440c-8840-381796641343">
      <Terms xmlns="http://schemas.microsoft.com/office/infopath/2007/PartnerControls"/>
    </lcf76f155ced4ddcb4097134ff3c332f>
    <TaxCatchAll xmlns="7e31b95b-3de7-4f98-875c-e90d3d60118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FE42C19A31254DAD7FD51AA9CB2D13" ma:contentTypeVersion="15" ma:contentTypeDescription="Een nieuw document maken." ma:contentTypeScope="" ma:versionID="750ba4af774ab4d55dffbd1f15cbe9e2">
  <xsd:schema xmlns:xsd="http://www.w3.org/2001/XMLSchema" xmlns:xs="http://www.w3.org/2001/XMLSchema" xmlns:p="http://schemas.microsoft.com/office/2006/metadata/properties" xmlns:ns2="401ebc29-79fd-440c-8840-381796641343" xmlns:ns3="7e31b95b-3de7-4f98-875c-e90d3d601180" targetNamespace="http://schemas.microsoft.com/office/2006/metadata/properties" ma:root="true" ma:fieldsID="092e1ed18bf624d2ae3a5734bf4fc772" ns2:_="" ns3:_="">
    <xsd:import namespace="401ebc29-79fd-440c-8840-381796641343"/>
    <xsd:import namespace="7e31b95b-3de7-4f98-875c-e90d3d601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ebc29-79fd-440c-8840-38179664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4beb08cb-f232-4834-8b18-2ea5f57fc4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1b95b-3de7-4f98-875c-e90d3d60118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5f34469-48e9-4105-8fdc-58c31527f5eb}" ma:internalName="TaxCatchAll" ma:showField="CatchAllData" ma:web="7e31b95b-3de7-4f98-875c-e90d3d601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D1BAF8-64E8-491C-902F-EF10B64D34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C97916-3E7A-4A13-AABD-B11EEE5CAB4D}">
  <ds:schemaRefs>
    <ds:schemaRef ds:uri="http://schemas.microsoft.com/office/2006/metadata/properties"/>
    <ds:schemaRef ds:uri="http://schemas.microsoft.com/office/infopath/2007/PartnerControls"/>
    <ds:schemaRef ds:uri="401ebc29-79fd-440c-8840-381796641343"/>
    <ds:schemaRef ds:uri="7e31b95b-3de7-4f98-875c-e90d3d601180"/>
  </ds:schemaRefs>
</ds:datastoreItem>
</file>

<file path=customXml/itemProps3.xml><?xml version="1.0" encoding="utf-8"?>
<ds:datastoreItem xmlns:ds="http://schemas.openxmlformats.org/officeDocument/2006/customXml" ds:itemID="{D99FBFD1-294A-4C92-B9D4-36620C664F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1ebc29-79fd-440c-8840-381796641343"/>
    <ds:schemaRef ds:uri="7e31b95b-3de7-4f98-875c-e90d3d601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0db30e5-664d-4f6e-81e0-22a87087cedc}" enabled="1" method="Privileged" siteId="{3b803436-3190-432a-bd1d-22fd10194b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Voorbeelden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van der Heijden</dc:creator>
  <cp:keywords/>
  <dc:description/>
  <cp:lastModifiedBy>Frank van der Heijden</cp:lastModifiedBy>
  <cp:revision/>
  <dcterms:created xsi:type="dcterms:W3CDTF">2023-08-21T07:07:59Z</dcterms:created>
  <dcterms:modified xsi:type="dcterms:W3CDTF">2026-07-23T14:44:24Z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0x01010063FE42C19A31254DAD7FD51AA9CB2D13</vt:lpwstr>
  </property>
</Properties>
</file>